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Przemek\Desktop\"/>
    </mc:Choice>
  </mc:AlternateContent>
  <xr:revisionPtr revIDLastSave="0" documentId="13_ncr:1_{9D4F4AFE-441E-48DD-8DBD-7D7AECBE0D45}" xr6:coauthVersionLast="47" xr6:coauthVersionMax="47" xr10:uidLastSave="{00000000-0000-0000-0000-000000000000}"/>
  <bookViews>
    <workbookView xWindow="-120" yWindow="-120" windowWidth="38640" windowHeight="21240" tabRatio="500" activeTab="3" xr2:uid="{00000000-000D-0000-FFFF-FFFF00000000}"/>
  </bookViews>
  <sheets>
    <sheet name="Dashboard" sheetId="1" r:id="rId1"/>
    <sheet name="Statystyki" sheetId="3" r:id="rId2"/>
    <sheet name="Budżet 2026" sheetId="4" r:id="rId3"/>
    <sheet name="Budżet 2027" sheetId="5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O72" i="4" l="1"/>
  <c r="O73" i="4"/>
  <c r="O74" i="4"/>
  <c r="O75" i="4"/>
  <c r="O71" i="4"/>
  <c r="O61" i="4"/>
  <c r="O62" i="4"/>
  <c r="O63" i="4"/>
  <c r="O64" i="4"/>
  <c r="O65" i="4"/>
  <c r="O66" i="4"/>
  <c r="O67" i="4"/>
  <c r="O60" i="4"/>
  <c r="O53" i="4"/>
  <c r="O54" i="4"/>
  <c r="O55" i="4"/>
  <c r="O56" i="4"/>
  <c r="O52" i="4"/>
  <c r="O48" i="4"/>
  <c r="O42" i="4"/>
  <c r="O43" i="4"/>
  <c r="O44" i="4"/>
  <c r="O45" i="4"/>
  <c r="O46" i="4"/>
  <c r="O47" i="4"/>
  <c r="O41" i="4"/>
  <c r="O30" i="4"/>
  <c r="O31" i="4"/>
  <c r="O32" i="4"/>
  <c r="O33" i="4"/>
  <c r="O34" i="4"/>
  <c r="O35" i="4"/>
  <c r="O36" i="4"/>
  <c r="O37" i="4"/>
  <c r="O29" i="4"/>
  <c r="O15" i="4"/>
  <c r="O16" i="4"/>
  <c r="O17" i="4"/>
  <c r="O18" i="4"/>
  <c r="O19" i="4"/>
  <c r="O20" i="4"/>
  <c r="O21" i="4"/>
  <c r="O22" i="4"/>
  <c r="O23" i="4"/>
  <c r="O24" i="4"/>
  <c r="O25" i="4"/>
  <c r="O14" i="4"/>
  <c r="O4" i="4"/>
  <c r="O5" i="4"/>
  <c r="O6" i="4"/>
  <c r="O7" i="4"/>
  <c r="O8" i="4"/>
  <c r="O9" i="4"/>
  <c r="O3" i="4"/>
  <c r="O72" i="5"/>
  <c r="O73" i="5"/>
  <c r="O74" i="5"/>
  <c r="O75" i="5"/>
  <c r="O71" i="5"/>
  <c r="O61" i="5"/>
  <c r="O62" i="5"/>
  <c r="O63" i="5"/>
  <c r="O64" i="5"/>
  <c r="O65" i="5"/>
  <c r="O66" i="5"/>
  <c r="O67" i="5"/>
  <c r="O60" i="5"/>
  <c r="O53" i="5"/>
  <c r="O54" i="5"/>
  <c r="O55" i="5"/>
  <c r="O56" i="5"/>
  <c r="O52" i="5"/>
  <c r="O30" i="5"/>
  <c r="O31" i="5"/>
  <c r="O32" i="5"/>
  <c r="O33" i="5"/>
  <c r="O34" i="5"/>
  <c r="O35" i="5"/>
  <c r="O36" i="5"/>
  <c r="O37" i="5"/>
  <c r="O29" i="5"/>
  <c r="O15" i="5"/>
  <c r="O16" i="5"/>
  <c r="O17" i="5"/>
  <c r="O18" i="5"/>
  <c r="O19" i="5"/>
  <c r="O20" i="5"/>
  <c r="O21" i="5"/>
  <c r="O22" i="5"/>
  <c r="O23" i="5"/>
  <c r="O24" i="5"/>
  <c r="O25" i="5"/>
  <c r="O14" i="5"/>
  <c r="O4" i="5"/>
  <c r="O5" i="5"/>
  <c r="O6" i="5"/>
  <c r="O7" i="5"/>
  <c r="O8" i="5"/>
  <c r="O9" i="5"/>
  <c r="O10" i="5"/>
  <c r="O11" i="5"/>
  <c r="O26" i="5"/>
  <c r="O38" i="5"/>
  <c r="O44" i="5"/>
  <c r="O45" i="5"/>
  <c r="O46" i="5"/>
  <c r="O47" i="5"/>
  <c r="O48" i="5"/>
  <c r="O57" i="5"/>
  <c r="O68" i="5"/>
  <c r="O3" i="5"/>
  <c r="I10" i="4"/>
  <c r="O10" i="4" s="1"/>
  <c r="D104" i="3"/>
  <c r="D103" i="3"/>
  <c r="D102" i="3"/>
  <c r="D101" i="3"/>
  <c r="D100" i="3"/>
  <c r="D99" i="3"/>
  <c r="D98" i="3"/>
  <c r="D97" i="3"/>
  <c r="D96" i="3"/>
  <c r="D95" i="3"/>
  <c r="D94" i="3"/>
  <c r="D93" i="3"/>
  <c r="E76" i="5"/>
  <c r="D24" i="3" s="1"/>
  <c r="D76" i="5"/>
  <c r="D23" i="3" s="1"/>
  <c r="C76" i="5"/>
  <c r="N43" i="5"/>
  <c r="M43" i="5"/>
  <c r="L43" i="5"/>
  <c r="K43" i="5"/>
  <c r="J43" i="5"/>
  <c r="I43" i="5"/>
  <c r="H43" i="5"/>
  <c r="G43" i="5"/>
  <c r="F43" i="5"/>
  <c r="E43" i="5"/>
  <c r="D43" i="5"/>
  <c r="C43" i="5"/>
  <c r="O43" i="5" s="1"/>
  <c r="N42" i="5"/>
  <c r="M42" i="5"/>
  <c r="L42" i="5"/>
  <c r="K42" i="5"/>
  <c r="J42" i="5"/>
  <c r="I42" i="5"/>
  <c r="H42" i="5"/>
  <c r="G42" i="5"/>
  <c r="F42" i="5"/>
  <c r="E42" i="5"/>
  <c r="D42" i="5"/>
  <c r="C42" i="5"/>
  <c r="O42" i="5" s="1"/>
  <c r="N41" i="5"/>
  <c r="M41" i="5"/>
  <c r="L41" i="5"/>
  <c r="K41" i="5"/>
  <c r="J41" i="5"/>
  <c r="I41" i="5"/>
  <c r="H41" i="5"/>
  <c r="G41" i="5"/>
  <c r="F41" i="5"/>
  <c r="E41" i="5"/>
  <c r="D41" i="5"/>
  <c r="C41" i="5"/>
  <c r="N11" i="5"/>
  <c r="M11" i="5"/>
  <c r="L11" i="5"/>
  <c r="K11" i="5"/>
  <c r="J11" i="5"/>
  <c r="I11" i="5"/>
  <c r="H11" i="5"/>
  <c r="G11" i="5"/>
  <c r="F11" i="5"/>
  <c r="E11" i="5"/>
  <c r="D11" i="5"/>
  <c r="N76" i="4"/>
  <c r="M76" i="4"/>
  <c r="L76" i="4"/>
  <c r="K76" i="4"/>
  <c r="J76" i="4"/>
  <c r="I76" i="4"/>
  <c r="D11" i="3" s="1"/>
  <c r="H76" i="4"/>
  <c r="G76" i="4"/>
  <c r="F76" i="4"/>
  <c r="E76" i="4"/>
  <c r="D76" i="4"/>
  <c r="D6" i="3" s="1"/>
  <c r="C76" i="4"/>
  <c r="N68" i="4"/>
  <c r="M68" i="4"/>
  <c r="L68" i="4"/>
  <c r="K68" i="4"/>
  <c r="J68" i="4"/>
  <c r="I68" i="4"/>
  <c r="H68" i="4"/>
  <c r="G68" i="4"/>
  <c r="F68" i="4"/>
  <c r="E68" i="4"/>
  <c r="D68" i="4"/>
  <c r="C68" i="4"/>
  <c r="N57" i="4"/>
  <c r="M57" i="4"/>
  <c r="L57" i="4"/>
  <c r="K57" i="4"/>
  <c r="J57" i="4"/>
  <c r="I57" i="4"/>
  <c r="H57" i="4"/>
  <c r="G57" i="4"/>
  <c r="F57" i="4"/>
  <c r="E57" i="4"/>
  <c r="D57" i="4"/>
  <c r="C57" i="4"/>
  <c r="N49" i="4"/>
  <c r="M49" i="4"/>
  <c r="L49" i="4"/>
  <c r="K49" i="4"/>
  <c r="J49" i="4"/>
  <c r="I49" i="4"/>
  <c r="H49" i="4"/>
  <c r="G49" i="4"/>
  <c r="F49" i="4"/>
  <c r="E49" i="4"/>
  <c r="D49" i="4"/>
  <c r="C49" i="4"/>
  <c r="S31" i="3"/>
  <c r="T31" i="3" s="1"/>
  <c r="S30" i="3"/>
  <c r="S29" i="3"/>
  <c r="T29" i="3" s="1"/>
  <c r="S28" i="3"/>
  <c r="T28" i="3" s="1"/>
  <c r="N38" i="4"/>
  <c r="M38" i="4"/>
  <c r="L38" i="4"/>
  <c r="K38" i="4"/>
  <c r="J38" i="4"/>
  <c r="I38" i="4"/>
  <c r="H38" i="4"/>
  <c r="G38" i="4"/>
  <c r="F38" i="4"/>
  <c r="E38" i="4"/>
  <c r="D38" i="4"/>
  <c r="C38" i="4"/>
  <c r="O38" i="4"/>
  <c r="B39" i="3" s="1"/>
  <c r="N26" i="4"/>
  <c r="M26" i="4"/>
  <c r="L26" i="4"/>
  <c r="K26" i="4"/>
  <c r="J26" i="4"/>
  <c r="I26" i="4"/>
  <c r="H26" i="4"/>
  <c r="G26" i="4"/>
  <c r="G80" i="4" s="1"/>
  <c r="F26" i="4"/>
  <c r="F80" i="4" s="1"/>
  <c r="E26" i="4"/>
  <c r="D26" i="4"/>
  <c r="C26" i="4"/>
  <c r="N11" i="4"/>
  <c r="N79" i="4" s="1"/>
  <c r="M11" i="4"/>
  <c r="M79" i="4" s="1"/>
  <c r="L11" i="4"/>
  <c r="L79" i="4" s="1"/>
  <c r="K11" i="4"/>
  <c r="K79" i="4" s="1"/>
  <c r="J11" i="4"/>
  <c r="J79" i="4" s="1"/>
  <c r="I11" i="4"/>
  <c r="H11" i="4"/>
  <c r="H79" i="4" s="1"/>
  <c r="G11" i="4"/>
  <c r="G79" i="4" s="1"/>
  <c r="G81" i="4" s="1"/>
  <c r="F11" i="4"/>
  <c r="F79" i="4" s="1"/>
  <c r="E11" i="4"/>
  <c r="E79" i="4" s="1"/>
  <c r="D11" i="4"/>
  <c r="D79" i="4" s="1"/>
  <c r="C11" i="4"/>
  <c r="C79" i="4" s="1"/>
  <c r="D155" i="3"/>
  <c r="C155" i="3"/>
  <c r="B155" i="3"/>
  <c r="C154" i="3"/>
  <c r="D154" i="3" s="1"/>
  <c r="B154" i="3"/>
  <c r="C153" i="3"/>
  <c r="D153" i="3" s="1"/>
  <c r="B153" i="3"/>
  <c r="C152" i="3"/>
  <c r="D152" i="3" s="1"/>
  <c r="B152" i="3"/>
  <c r="C151" i="3"/>
  <c r="D151" i="3" s="1"/>
  <c r="B151" i="3"/>
  <c r="C150" i="3"/>
  <c r="D150" i="3" s="1"/>
  <c r="B150" i="3"/>
  <c r="C149" i="3"/>
  <c r="D149" i="3" s="1"/>
  <c r="B149" i="3"/>
  <c r="C148" i="3"/>
  <c r="D148" i="3" s="1"/>
  <c r="B148" i="3"/>
  <c r="C147" i="3"/>
  <c r="D147" i="3" s="1"/>
  <c r="B147" i="3"/>
  <c r="C146" i="3"/>
  <c r="D146" i="3" s="1"/>
  <c r="B146" i="3"/>
  <c r="C145" i="3"/>
  <c r="D145" i="3" s="1"/>
  <c r="B145" i="3"/>
  <c r="C144" i="3"/>
  <c r="D144" i="3" s="1"/>
  <c r="B144" i="3"/>
  <c r="C143" i="3"/>
  <c r="D143" i="3" s="1"/>
  <c r="B143" i="3"/>
  <c r="C142" i="3"/>
  <c r="D142" i="3" s="1"/>
  <c r="B142" i="3"/>
  <c r="C141" i="3"/>
  <c r="D141" i="3" s="1"/>
  <c r="B141" i="3"/>
  <c r="C140" i="3"/>
  <c r="D140" i="3" s="1"/>
  <c r="B140" i="3"/>
  <c r="C139" i="3"/>
  <c r="D139" i="3" s="1"/>
  <c r="B139" i="3"/>
  <c r="C138" i="3"/>
  <c r="D138" i="3" s="1"/>
  <c r="B138" i="3"/>
  <c r="C137" i="3"/>
  <c r="D137" i="3" s="1"/>
  <c r="B137" i="3"/>
  <c r="C136" i="3"/>
  <c r="D136" i="3" s="1"/>
  <c r="B136" i="3"/>
  <c r="C135" i="3"/>
  <c r="D135" i="3" s="1"/>
  <c r="B135" i="3"/>
  <c r="C134" i="3"/>
  <c r="D134" i="3" s="1"/>
  <c r="B134" i="3"/>
  <c r="C133" i="3"/>
  <c r="D133" i="3" s="1"/>
  <c r="B133" i="3"/>
  <c r="C132" i="3"/>
  <c r="D132" i="3" s="1"/>
  <c r="B132" i="3"/>
  <c r="C131" i="3"/>
  <c r="D131" i="3" s="1"/>
  <c r="B131" i="3"/>
  <c r="C130" i="3"/>
  <c r="D130" i="3" s="1"/>
  <c r="B130" i="3"/>
  <c r="C129" i="3"/>
  <c r="D129" i="3" s="1"/>
  <c r="B129" i="3"/>
  <c r="C128" i="3"/>
  <c r="D128" i="3" s="1"/>
  <c r="B128" i="3"/>
  <c r="C127" i="3"/>
  <c r="D127" i="3" s="1"/>
  <c r="B127" i="3"/>
  <c r="C126" i="3"/>
  <c r="D126" i="3" s="1"/>
  <c r="B126" i="3"/>
  <c r="C125" i="3"/>
  <c r="D125" i="3" s="1"/>
  <c r="B125" i="3"/>
  <c r="C124" i="3"/>
  <c r="D124" i="3" s="1"/>
  <c r="B124" i="3"/>
  <c r="C123" i="3"/>
  <c r="D123" i="3" s="1"/>
  <c r="B123" i="3"/>
  <c r="C122" i="3"/>
  <c r="D122" i="3" s="1"/>
  <c r="B122" i="3"/>
  <c r="C121" i="3"/>
  <c r="D121" i="3" s="1"/>
  <c r="B121" i="3"/>
  <c r="C120" i="3"/>
  <c r="D120" i="3" s="1"/>
  <c r="B120" i="3"/>
  <c r="C119" i="3"/>
  <c r="D119" i="3" s="1"/>
  <c r="B119" i="3"/>
  <c r="C118" i="3"/>
  <c r="D118" i="3" s="1"/>
  <c r="B118" i="3"/>
  <c r="C117" i="3"/>
  <c r="D117" i="3" s="1"/>
  <c r="B117" i="3"/>
  <c r="C116" i="3"/>
  <c r="D116" i="3" s="1"/>
  <c r="B116" i="3"/>
  <c r="C115" i="3"/>
  <c r="D115" i="3" s="1"/>
  <c r="B115" i="3"/>
  <c r="C114" i="3"/>
  <c r="D114" i="3" s="1"/>
  <c r="B114" i="3"/>
  <c r="C113" i="3"/>
  <c r="D113" i="3" s="1"/>
  <c r="B113" i="3"/>
  <c r="C112" i="3"/>
  <c r="D112" i="3" s="1"/>
  <c r="B112" i="3"/>
  <c r="C111" i="3"/>
  <c r="D111" i="3" s="1"/>
  <c r="B111" i="3"/>
  <c r="C110" i="3"/>
  <c r="D110" i="3" s="1"/>
  <c r="B110" i="3"/>
  <c r="C109" i="3"/>
  <c r="D109" i="3" s="1"/>
  <c r="B109" i="3"/>
  <c r="B76" i="3"/>
  <c r="B63" i="3"/>
  <c r="S50" i="3"/>
  <c r="T50" i="3" s="1"/>
  <c r="R50" i="3"/>
  <c r="S49" i="3"/>
  <c r="T49" i="3" s="1"/>
  <c r="R49" i="3"/>
  <c r="S48" i="3"/>
  <c r="T48" i="3" s="1"/>
  <c r="R48" i="3"/>
  <c r="S47" i="3"/>
  <c r="T47" i="3" s="1"/>
  <c r="R47" i="3"/>
  <c r="S46" i="3"/>
  <c r="T46" i="3" s="1"/>
  <c r="R46" i="3"/>
  <c r="S45" i="3"/>
  <c r="T45" i="3" s="1"/>
  <c r="R45" i="3"/>
  <c r="S44" i="3"/>
  <c r="T44" i="3" s="1"/>
  <c r="R44" i="3"/>
  <c r="S43" i="3"/>
  <c r="T43" i="3" s="1"/>
  <c r="R43" i="3"/>
  <c r="H43" i="3"/>
  <c r="G43" i="3"/>
  <c r="S42" i="3"/>
  <c r="T42" i="3" s="1"/>
  <c r="R42" i="3"/>
  <c r="H42" i="3"/>
  <c r="G42" i="3"/>
  <c r="S41" i="3"/>
  <c r="T41" i="3" s="1"/>
  <c r="R41" i="3"/>
  <c r="S40" i="3"/>
  <c r="T40" i="3" s="1"/>
  <c r="R40" i="3"/>
  <c r="H40" i="3"/>
  <c r="G40" i="3"/>
  <c r="S39" i="3"/>
  <c r="T39" i="3" s="1"/>
  <c r="R39" i="3"/>
  <c r="H39" i="3"/>
  <c r="G39" i="3"/>
  <c r="S38" i="3"/>
  <c r="T38" i="3" s="1"/>
  <c r="R38" i="3"/>
  <c r="S37" i="3"/>
  <c r="T37" i="3" s="1"/>
  <c r="R37" i="3"/>
  <c r="S36" i="3"/>
  <c r="T36" i="3" s="1"/>
  <c r="R36" i="3"/>
  <c r="S35" i="3"/>
  <c r="T35" i="3" s="1"/>
  <c r="R35" i="3"/>
  <c r="S34" i="3"/>
  <c r="T34" i="3" s="1"/>
  <c r="R34" i="3"/>
  <c r="S33" i="3"/>
  <c r="T33" i="3" s="1"/>
  <c r="R33" i="3"/>
  <c r="R32" i="3"/>
  <c r="R31" i="3"/>
  <c r="R30" i="3"/>
  <c r="R29" i="3"/>
  <c r="R28" i="3"/>
  <c r="R27" i="3"/>
  <c r="R26" i="3"/>
  <c r="R25" i="3"/>
  <c r="R24" i="3"/>
  <c r="R23" i="3"/>
  <c r="S22" i="3"/>
  <c r="T22" i="3" s="1"/>
  <c r="R22" i="3"/>
  <c r="D22" i="3"/>
  <c r="S21" i="3"/>
  <c r="T21" i="3" s="1"/>
  <c r="R21" i="3"/>
  <c r="S20" i="3"/>
  <c r="T20" i="3" s="1"/>
  <c r="R20" i="3"/>
  <c r="S19" i="3"/>
  <c r="T19" i="3" s="1"/>
  <c r="R19" i="3"/>
  <c r="S18" i="3"/>
  <c r="T18" i="3" s="1"/>
  <c r="R18" i="3"/>
  <c r="S17" i="3"/>
  <c r="T17" i="3" s="1"/>
  <c r="R17" i="3"/>
  <c r="S16" i="3"/>
  <c r="T16" i="3" s="1"/>
  <c r="R16" i="3"/>
  <c r="D16" i="3"/>
  <c r="B16" i="3"/>
  <c r="S15" i="3"/>
  <c r="T15" i="3" s="1"/>
  <c r="R15" i="3"/>
  <c r="D15" i="3"/>
  <c r="B15" i="3"/>
  <c r="S14" i="3"/>
  <c r="T14" i="3" s="1"/>
  <c r="R14" i="3"/>
  <c r="D14" i="3"/>
  <c r="B14" i="3"/>
  <c r="S13" i="3"/>
  <c r="T13" i="3" s="1"/>
  <c r="R13" i="3"/>
  <c r="D13" i="3"/>
  <c r="B13" i="3"/>
  <c r="S12" i="3"/>
  <c r="T12" i="3" s="1"/>
  <c r="R12" i="3"/>
  <c r="D12" i="3"/>
  <c r="B12" i="3"/>
  <c r="S11" i="3"/>
  <c r="T11" i="3" s="1"/>
  <c r="R11" i="3"/>
  <c r="S10" i="3"/>
  <c r="T10" i="3" s="1"/>
  <c r="R10" i="3"/>
  <c r="D10" i="3"/>
  <c r="B10" i="3"/>
  <c r="S9" i="3"/>
  <c r="T9" i="3" s="1"/>
  <c r="R9" i="3"/>
  <c r="D9" i="3"/>
  <c r="C9" i="3"/>
  <c r="B9" i="3"/>
  <c r="S8" i="3"/>
  <c r="T8" i="3" s="1"/>
  <c r="R8" i="3"/>
  <c r="D8" i="3"/>
  <c r="C8" i="3"/>
  <c r="B8" i="3"/>
  <c r="S7" i="3"/>
  <c r="T7" i="3" s="1"/>
  <c r="R7" i="3"/>
  <c r="D7" i="3"/>
  <c r="C7" i="3"/>
  <c r="B7" i="3"/>
  <c r="S6" i="3"/>
  <c r="T6" i="3" s="1"/>
  <c r="R6" i="3"/>
  <c r="C6" i="3"/>
  <c r="B6" i="3"/>
  <c r="S5" i="3"/>
  <c r="T5" i="3" s="1"/>
  <c r="R5" i="3"/>
  <c r="D5" i="3"/>
  <c r="C5" i="3"/>
  <c r="B5" i="3"/>
  <c r="S4" i="3"/>
  <c r="R4" i="3"/>
  <c r="O11" i="4" l="1"/>
  <c r="O79" i="4" s="1"/>
  <c r="C10" i="3"/>
  <c r="O41" i="5"/>
  <c r="O49" i="5" s="1"/>
  <c r="N80" i="4"/>
  <c r="N81" i="4" s="1"/>
  <c r="C16" i="3"/>
  <c r="M80" i="4"/>
  <c r="M81" i="4" s="1"/>
  <c r="C15" i="3"/>
  <c r="L80" i="4"/>
  <c r="L81" i="4" s="1"/>
  <c r="C14" i="3"/>
  <c r="H38" i="3"/>
  <c r="G38" i="3"/>
  <c r="K80" i="4"/>
  <c r="K81" i="4" s="1"/>
  <c r="C13" i="3"/>
  <c r="J80" i="4"/>
  <c r="J81" i="4" s="1"/>
  <c r="C12" i="3"/>
  <c r="C80" i="4"/>
  <c r="C81" i="4" s="1"/>
  <c r="D80" i="4"/>
  <c r="D81" i="4" s="1"/>
  <c r="E80" i="4"/>
  <c r="E81" i="4" s="1"/>
  <c r="H80" i="4"/>
  <c r="C11" i="3"/>
  <c r="I80" i="4"/>
  <c r="I79" i="4"/>
  <c r="B11" i="3"/>
  <c r="F81" i="4"/>
  <c r="N76" i="5"/>
  <c r="D33" i="3" s="1"/>
  <c r="M76" i="5"/>
  <c r="D32" i="3" s="1"/>
  <c r="L76" i="5"/>
  <c r="D31" i="3" s="1"/>
  <c r="K76" i="5"/>
  <c r="D30" i="3" s="1"/>
  <c r="J76" i="5"/>
  <c r="D29" i="3" s="1"/>
  <c r="I76" i="5"/>
  <c r="D28" i="3" s="1"/>
  <c r="H76" i="5"/>
  <c r="D27" i="3" s="1"/>
  <c r="G76" i="5"/>
  <c r="D26" i="3" s="1"/>
  <c r="F76" i="5"/>
  <c r="D25" i="3" s="1"/>
  <c r="D34" i="3" s="1"/>
  <c r="D14" i="1" s="1"/>
  <c r="D68" i="5"/>
  <c r="N57" i="5"/>
  <c r="M57" i="5"/>
  <c r="L57" i="5"/>
  <c r="K57" i="5"/>
  <c r="J57" i="5"/>
  <c r="I57" i="5"/>
  <c r="H57" i="5"/>
  <c r="G57" i="5"/>
  <c r="F57" i="5"/>
  <c r="E57" i="5"/>
  <c r="D57" i="5"/>
  <c r="H41" i="3"/>
  <c r="G41" i="3"/>
  <c r="N49" i="5"/>
  <c r="M49" i="5"/>
  <c r="L49" i="5"/>
  <c r="K49" i="5"/>
  <c r="J49" i="5"/>
  <c r="I49" i="5"/>
  <c r="H49" i="5"/>
  <c r="G49" i="5"/>
  <c r="F49" i="5"/>
  <c r="E49" i="5"/>
  <c r="D49" i="5"/>
  <c r="H81" i="4"/>
  <c r="B68" i="3"/>
  <c r="B19" i="1" s="1"/>
  <c r="D105" i="3"/>
  <c r="O76" i="5"/>
  <c r="E43" i="3" s="1"/>
  <c r="N68" i="5"/>
  <c r="M68" i="5"/>
  <c r="L68" i="5"/>
  <c r="K68" i="5"/>
  <c r="J68" i="5"/>
  <c r="I68" i="5"/>
  <c r="H68" i="5"/>
  <c r="G68" i="5"/>
  <c r="F68" i="5"/>
  <c r="E68" i="5"/>
  <c r="C68" i="5"/>
  <c r="C57" i="5"/>
  <c r="C49" i="5"/>
  <c r="N38" i="5"/>
  <c r="M38" i="5"/>
  <c r="L38" i="5"/>
  <c r="K38" i="5"/>
  <c r="J38" i="5"/>
  <c r="I38" i="5"/>
  <c r="H38" i="5"/>
  <c r="G38" i="5"/>
  <c r="F38" i="5"/>
  <c r="E38" i="5"/>
  <c r="D38" i="5"/>
  <c r="C38" i="5"/>
  <c r="M26" i="5"/>
  <c r="K26" i="5"/>
  <c r="I26" i="5"/>
  <c r="G26" i="5"/>
  <c r="E26" i="5"/>
  <c r="C26" i="5"/>
  <c r="N26" i="5"/>
  <c r="L26" i="5"/>
  <c r="J26" i="5"/>
  <c r="H26" i="5"/>
  <c r="F26" i="5"/>
  <c r="D26" i="5"/>
  <c r="N79" i="5"/>
  <c r="B33" i="3"/>
  <c r="B32" i="3"/>
  <c r="M79" i="5"/>
  <c r="L79" i="5"/>
  <c r="B31" i="3"/>
  <c r="K79" i="5"/>
  <c r="B30" i="3"/>
  <c r="J79" i="5"/>
  <c r="B29" i="3"/>
  <c r="B28" i="3"/>
  <c r="I79" i="5"/>
  <c r="H79" i="5"/>
  <c r="B27" i="3"/>
  <c r="G79" i="5"/>
  <c r="B26" i="3"/>
  <c r="F79" i="5"/>
  <c r="B25" i="3"/>
  <c r="B24" i="3"/>
  <c r="E79" i="5"/>
  <c r="D79" i="5"/>
  <c r="B23" i="3"/>
  <c r="O79" i="5"/>
  <c r="C11" i="5"/>
  <c r="O76" i="4"/>
  <c r="B43" i="3" s="1"/>
  <c r="O68" i="4"/>
  <c r="B42" i="3" s="1"/>
  <c r="O57" i="4"/>
  <c r="B41" i="3" s="1"/>
  <c r="S32" i="3"/>
  <c r="T32" i="3" s="1"/>
  <c r="T30" i="3"/>
  <c r="B61" i="3"/>
  <c r="S27" i="3"/>
  <c r="T27" i="3" s="1"/>
  <c r="S26" i="3"/>
  <c r="T26" i="3" s="1"/>
  <c r="O49" i="4"/>
  <c r="B40" i="3" s="1"/>
  <c r="S25" i="3"/>
  <c r="T25" i="3" s="1"/>
  <c r="S24" i="3"/>
  <c r="T24" i="3" s="1"/>
  <c r="S23" i="3"/>
  <c r="D39" i="3"/>
  <c r="O26" i="4"/>
  <c r="D63" i="3"/>
  <c r="B27" i="1"/>
  <c r="G14" i="3"/>
  <c r="E14" i="3"/>
  <c r="H14" i="3" s="1"/>
  <c r="G10" i="3"/>
  <c r="E10" i="3"/>
  <c r="H10" i="3" s="1"/>
  <c r="G9" i="3"/>
  <c r="E9" i="3"/>
  <c r="H9" i="3" s="1"/>
  <c r="E8" i="3"/>
  <c r="H8" i="3" s="1"/>
  <c r="G8" i="3"/>
  <c r="E7" i="3"/>
  <c r="H7" i="3" s="1"/>
  <c r="G7" i="3"/>
  <c r="G6" i="3"/>
  <c r="E6" i="3"/>
  <c r="H6" i="3" s="1"/>
  <c r="D17" i="3"/>
  <c r="G5" i="3"/>
  <c r="E5" i="3"/>
  <c r="H5" i="3" s="1"/>
  <c r="B17" i="3"/>
  <c r="T4" i="3"/>
  <c r="B104" i="3" l="1"/>
  <c r="B70" i="3"/>
  <c r="H44" i="3"/>
  <c r="G44" i="3"/>
  <c r="B69" i="3"/>
  <c r="E16" i="3"/>
  <c r="H16" i="3" s="1"/>
  <c r="G16" i="3"/>
  <c r="B103" i="3"/>
  <c r="E15" i="3"/>
  <c r="H15" i="3" s="1"/>
  <c r="G15" i="3"/>
  <c r="B102" i="3"/>
  <c r="E13" i="3"/>
  <c r="H13" i="3" s="1"/>
  <c r="B72" i="3"/>
  <c r="B71" i="3"/>
  <c r="G13" i="3"/>
  <c r="C17" i="3"/>
  <c r="G12" i="3"/>
  <c r="E12" i="3"/>
  <c r="H12" i="3" s="1"/>
  <c r="B74" i="3"/>
  <c r="B73" i="3"/>
  <c r="I81" i="4"/>
  <c r="B67" i="3"/>
  <c r="B18" i="1" s="1"/>
  <c r="E11" i="3"/>
  <c r="B78" i="3" s="1"/>
  <c r="G11" i="3"/>
  <c r="E42" i="3"/>
  <c r="F42" i="3" s="1"/>
  <c r="E41" i="3"/>
  <c r="F41" i="3" s="1"/>
  <c r="E40" i="3"/>
  <c r="F40" i="3" s="1"/>
  <c r="E39" i="3"/>
  <c r="F39" i="3" s="1"/>
  <c r="M80" i="5"/>
  <c r="M81" i="5" s="1"/>
  <c r="C32" i="3"/>
  <c r="K80" i="5"/>
  <c r="K81" i="5" s="1"/>
  <c r="C30" i="3"/>
  <c r="I80" i="5"/>
  <c r="I81" i="5" s="1"/>
  <c r="C28" i="3"/>
  <c r="G80" i="5"/>
  <c r="G81" i="5" s="1"/>
  <c r="C26" i="3"/>
  <c r="E80" i="5"/>
  <c r="E81" i="5" s="1"/>
  <c r="C24" i="3"/>
  <c r="C80" i="5"/>
  <c r="C22" i="3"/>
  <c r="N80" i="5"/>
  <c r="N81" i="5" s="1"/>
  <c r="C33" i="3"/>
  <c r="L80" i="5"/>
  <c r="L81" i="5" s="1"/>
  <c r="C31" i="3"/>
  <c r="J80" i="5"/>
  <c r="J81" i="5" s="1"/>
  <c r="C29" i="3"/>
  <c r="H80" i="5"/>
  <c r="H81" i="5" s="1"/>
  <c r="C27" i="3"/>
  <c r="F80" i="5"/>
  <c r="F81" i="5" s="1"/>
  <c r="C25" i="3"/>
  <c r="D80" i="5"/>
  <c r="D81" i="5" s="1"/>
  <c r="C23" i="3"/>
  <c r="B22" i="3"/>
  <c r="C79" i="5"/>
  <c r="D43" i="3"/>
  <c r="D42" i="3"/>
  <c r="D41" i="3"/>
  <c r="D61" i="3"/>
  <c r="B25" i="1"/>
  <c r="D40" i="3"/>
  <c r="T23" i="3"/>
  <c r="B62" i="3"/>
  <c r="O80" i="4"/>
  <c r="O81" i="4" s="1"/>
  <c r="B38" i="3"/>
  <c r="B82" i="3"/>
  <c r="D13" i="1"/>
  <c r="D15" i="1" s="1"/>
  <c r="F5" i="3"/>
  <c r="F6" i="3" s="1"/>
  <c r="F7" i="3" s="1"/>
  <c r="F8" i="3" s="1"/>
  <c r="F9" i="3" s="1"/>
  <c r="F10" i="3" s="1"/>
  <c r="B13" i="1"/>
  <c r="B48" i="3"/>
  <c r="C49" i="3"/>
  <c r="B50" i="3"/>
  <c r="B51" i="3"/>
  <c r="B52" i="3"/>
  <c r="C53" i="3"/>
  <c r="C54" i="3"/>
  <c r="C55" i="3"/>
  <c r="C56" i="3"/>
  <c r="C57" i="3"/>
  <c r="C48" i="3"/>
  <c r="B49" i="3"/>
  <c r="C50" i="3"/>
  <c r="C51" i="3"/>
  <c r="C52" i="3"/>
  <c r="B53" i="3"/>
  <c r="B54" i="3"/>
  <c r="B101" i="3"/>
  <c r="B100" i="3"/>
  <c r="B99" i="3"/>
  <c r="B98" i="3"/>
  <c r="B97" i="3"/>
  <c r="B96" i="3"/>
  <c r="B95" i="3"/>
  <c r="B94" i="3"/>
  <c r="B93" i="3"/>
  <c r="F43" i="3"/>
  <c r="B88" i="3"/>
  <c r="B89" i="3"/>
  <c r="B28" i="1" s="1"/>
  <c r="B55" i="3" l="1"/>
  <c r="B56" i="3"/>
  <c r="B57" i="3"/>
  <c r="B79" i="3"/>
  <c r="B20" i="1" s="1"/>
  <c r="C13" i="1"/>
  <c r="G17" i="3"/>
  <c r="F11" i="3"/>
  <c r="F12" i="3" s="1"/>
  <c r="F13" i="3" s="1"/>
  <c r="F14" i="3" s="1"/>
  <c r="F15" i="3" s="1"/>
  <c r="F16" i="3" s="1"/>
  <c r="F17" i="3" s="1"/>
  <c r="H11" i="3"/>
  <c r="H17" i="3" s="1"/>
  <c r="E17" i="3"/>
  <c r="E27" i="3"/>
  <c r="H27" i="3" s="1"/>
  <c r="G27" i="3"/>
  <c r="E25" i="3"/>
  <c r="H25" i="3" s="1"/>
  <c r="G25" i="3"/>
  <c r="E23" i="3"/>
  <c r="H23" i="3" s="1"/>
  <c r="G23" i="3"/>
  <c r="B105" i="3"/>
  <c r="E22" i="3"/>
  <c r="G22" i="3"/>
  <c r="B34" i="3"/>
  <c r="D62" i="3"/>
  <c r="B26" i="1"/>
  <c r="D38" i="3"/>
  <c r="D44" i="3" s="1"/>
  <c r="B80" i="3"/>
  <c r="B21" i="1" s="1"/>
  <c r="B44" i="3"/>
  <c r="E49" i="3"/>
  <c r="E53" i="3"/>
  <c r="E54" i="3"/>
  <c r="E55" i="3"/>
  <c r="E56" i="3"/>
  <c r="E57" i="3"/>
  <c r="E48" i="3"/>
  <c r="E50" i="3"/>
  <c r="E51" i="3"/>
  <c r="E52" i="3"/>
  <c r="E38" i="3"/>
  <c r="O80" i="5"/>
  <c r="O81" i="5" s="1"/>
  <c r="C93" i="3"/>
  <c r="C34" i="3"/>
  <c r="C14" i="1" s="1"/>
  <c r="C81" i="5"/>
  <c r="E32" i="3"/>
  <c r="H32" i="3" s="1"/>
  <c r="G32" i="3"/>
  <c r="E30" i="3"/>
  <c r="H30" i="3" s="1"/>
  <c r="G30" i="3"/>
  <c r="E28" i="3"/>
  <c r="H28" i="3" s="1"/>
  <c r="G28" i="3"/>
  <c r="E26" i="3"/>
  <c r="H26" i="3" s="1"/>
  <c r="G26" i="3"/>
  <c r="E24" i="3"/>
  <c r="H24" i="3" s="1"/>
  <c r="G24" i="3"/>
  <c r="E33" i="3"/>
  <c r="H33" i="3" s="1"/>
  <c r="G33" i="3"/>
  <c r="E31" i="3"/>
  <c r="H31" i="3" s="1"/>
  <c r="G31" i="3"/>
  <c r="E29" i="3"/>
  <c r="H29" i="3" s="1"/>
  <c r="G29" i="3"/>
  <c r="D48" i="3" l="1"/>
  <c r="D50" i="3"/>
  <c r="D51" i="3"/>
  <c r="E93" i="3"/>
  <c r="C15" i="1"/>
  <c r="B75" i="3"/>
  <c r="B23" i="1" s="1"/>
  <c r="F13" i="1"/>
  <c r="B77" i="3"/>
  <c r="B24" i="1" s="1"/>
  <c r="B84" i="3"/>
  <c r="B83" i="3"/>
  <c r="E13" i="1"/>
  <c r="B85" i="3"/>
  <c r="B86" i="3"/>
  <c r="B87" i="3"/>
  <c r="D49" i="3"/>
  <c r="D53" i="3"/>
  <c r="D54" i="3"/>
  <c r="D55" i="3"/>
  <c r="D56" i="3"/>
  <c r="D57" i="3"/>
  <c r="D52" i="3"/>
  <c r="H22" i="3"/>
  <c r="H34" i="3" s="1"/>
  <c r="F22" i="3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F33" i="3" s="1"/>
  <c r="F34" i="3" s="1"/>
  <c r="E34" i="3"/>
  <c r="E14" i="1" s="1"/>
  <c r="G34" i="3"/>
  <c r="F14" i="1" s="1"/>
  <c r="B14" i="1"/>
  <c r="B15" i="1" s="1"/>
  <c r="C40" i="3"/>
  <c r="C61" i="3"/>
  <c r="C41" i="3"/>
  <c r="C42" i="3"/>
  <c r="C43" i="3"/>
  <c r="C39" i="3"/>
  <c r="C63" i="3"/>
  <c r="B81" i="3"/>
  <c r="B22" i="1" s="1"/>
  <c r="F38" i="3"/>
  <c r="E44" i="3"/>
  <c r="F44" i="3" s="1"/>
  <c r="F93" i="3"/>
  <c r="G93" i="3"/>
  <c r="C62" i="3"/>
  <c r="C38" i="3"/>
  <c r="F15" i="1" l="1"/>
  <c r="E15" i="1"/>
  <c r="C94" i="3"/>
  <c r="G94" i="3" l="1"/>
  <c r="F94" i="3"/>
  <c r="E94" i="3"/>
  <c r="C95" i="3" l="1"/>
  <c r="E95" i="3" l="1"/>
  <c r="G95" i="3"/>
  <c r="F95" i="3"/>
  <c r="C96" i="3" l="1"/>
  <c r="E96" i="3" l="1"/>
  <c r="G96" i="3"/>
  <c r="F96" i="3"/>
  <c r="C97" i="3" l="1"/>
  <c r="G97" i="3" l="1"/>
  <c r="F97" i="3"/>
  <c r="E97" i="3"/>
  <c r="C98" i="3" l="1"/>
  <c r="G98" i="3" l="1"/>
  <c r="F98" i="3"/>
  <c r="E98" i="3"/>
  <c r="C99" i="3" l="1"/>
  <c r="G99" i="3" l="1"/>
  <c r="F99" i="3"/>
  <c r="E99" i="3"/>
  <c r="C100" i="3" l="1"/>
  <c r="G100" i="3" l="1"/>
  <c r="F100" i="3"/>
  <c r="E100" i="3"/>
  <c r="C101" i="3" l="1"/>
  <c r="E101" i="3" l="1"/>
  <c r="G101" i="3"/>
  <c r="F101" i="3"/>
  <c r="C102" i="3" l="1"/>
  <c r="G102" i="3" l="1"/>
  <c r="F102" i="3"/>
  <c r="E102" i="3"/>
  <c r="C103" i="3" l="1"/>
  <c r="G103" i="3" l="1"/>
  <c r="F103" i="3"/>
  <c r="E103" i="3"/>
  <c r="C104" i="3" l="1"/>
  <c r="E104" i="3"/>
  <c r="F104" i="3" l="1"/>
  <c r="F105" i="3" s="1"/>
  <c r="G105" i="3" s="1"/>
  <c r="G104" i="3"/>
  <c r="B29" i="1"/>
  <c r="E105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B3" authorId="0" shapeId="0" xr:uid="{00000000-0006-0000-0300-000001000000}">
      <text>
        <r>
          <rPr>
            <sz val="10"/>
            <rFont val="Arial"/>
            <family val="2"/>
          </rPr>
          <t>Założenie: kwota z lipca 2026 (12 963 zł) powielona na wszystkie miesiące.
Źródło: dane wpisane przez użytkownika.</t>
        </r>
      </text>
    </comment>
    <comment ref="B9" authorId="0" shapeId="0" xr:uid="{00000000-0006-0000-0300-000002000000}">
      <text>
        <r>
          <rPr>
            <sz val="10"/>
            <rFont val="Arial"/>
            <family val="2"/>
          </rPr>
          <t>Zdarzenie jednorazowe — pozostawione tylko w lipcu.</t>
        </r>
      </text>
    </comment>
    <comment ref="B10" authorId="0" shapeId="0" xr:uid="{00000000-0006-0000-0300-000003000000}">
      <text>
        <r>
          <rPr>
            <sz val="10"/>
            <rFont val="Arial"/>
            <family val="2"/>
          </rPr>
          <t>Zdarzenie jednorazowe — pozostawione tylko w lipcu.</t>
        </r>
      </text>
    </comment>
    <comment ref="B17" authorId="0" shapeId="0" xr:uid="{00000000-0006-0000-0300-000004000000}">
      <text>
        <r>
          <rPr>
            <sz val="10"/>
            <rFont val="Arial"/>
            <family val="2"/>
          </rPr>
          <t>Założenie: 280 zł co 2 miesiące (rozliczenie dwumiesięczne) — bazując na wpisie za sierpień.</t>
        </r>
      </text>
    </comment>
  </commentList>
</comments>
</file>

<file path=xl/sharedStrings.xml><?xml version="1.0" encoding="utf-8"?>
<sst xmlns="http://schemas.openxmlformats.org/spreadsheetml/2006/main" count="630" uniqueCount="201">
  <si>
    <t>MEGA KALKULATOR BUDŻETOWY 2026–2027  |  DASHBOARD</t>
  </si>
  <si>
    <t>Instrukcja obsługi:</t>
  </si>
  <si>
    <t>1. 'Ustawienia' — parametry: indeksacja 2027, przenoszenie budżetu, cele oszczędnościowe.</t>
  </si>
  <si>
    <t>2. 'Budżet 2026' / 'Budżet 2027' — planowane kwoty miesięczne. Rok 2027 wylicza się z 2026 (można nadpisać).</t>
  </si>
  <si>
    <t>3. 'Rollover 2026' / 'Rollover 2027' — wpisujesz WYKONANIE; niewydany budżet przechodzi na kolejny miesiąc.</t>
  </si>
  <si>
    <t>4. 'Statystyki' — 8 sekcji analitycznych: przepływy, struktura, TOP 10, koszty stałe/zmienne, wskaźniki.</t>
  </si>
  <si>
    <t>5. Ten arkusz aktualizuje się automatycznie — wykresy i KPI liczone są z powyższych arkuszy.</t>
  </si>
  <si>
    <t>PODSUMOWANIE ROCZNE</t>
  </si>
  <si>
    <t>Rok</t>
  </si>
  <si>
    <t>Łączne przychody</t>
  </si>
  <si>
    <t>Wydatki konsumpcyjne</t>
  </si>
  <si>
    <t>Oszczędności / inwestycje</t>
  </si>
  <si>
    <t>Bilans (wolne środki)</t>
  </si>
  <si>
    <t>Stopa oszczędności</t>
  </si>
  <si>
    <t>Rok 2026</t>
  </si>
  <si>
    <t>Rok 2027</t>
  </si>
  <si>
    <t>RAZEM 2026+2027</t>
  </si>
  <si>
    <t>KLUCZOWE WSKAŹNIKI 2026</t>
  </si>
  <si>
    <t>Średni przychód miesięczny</t>
  </si>
  <si>
    <t>Średni wydatek miesięczny</t>
  </si>
  <si>
    <t>Koszt jednego dnia życia</t>
  </si>
  <si>
    <t>Największa kategoria kosztowa</t>
  </si>
  <si>
    <t>Udział największej kategorii</t>
  </si>
  <si>
    <t>Roczna stopa oszczędności</t>
  </si>
  <si>
    <t>Realizacja celu oszczędności</t>
  </si>
  <si>
    <t>Koszty stałe (rok)</t>
  </si>
  <si>
    <t>Koszty zmienne (rok)</t>
  </si>
  <si>
    <t>Oszczędności i inwestycje (rok)</t>
  </si>
  <si>
    <t>Pozycje bez danych</t>
  </si>
  <si>
    <t>Niewykorzystany budżet na koniec roku</t>
  </si>
  <si>
    <t>WYKRESY (odświeżają się automatycznie po zmianie danych)</t>
  </si>
  <si>
    <t>Wartość</t>
  </si>
  <si>
    <t>STATYSTYKI I ANALIZA BUDŻETU</t>
  </si>
  <si>
    <t>Blok pomocniczy do rankingów (nie usuwaj). Kolumna U = klasyfikacja kosztu, można edytować.</t>
  </si>
  <si>
    <t>1. PRZEPŁYWY MIESIĘCZNE 2026</t>
  </si>
  <si>
    <t>Miesiąc</t>
  </si>
  <si>
    <t>Przychody</t>
  </si>
  <si>
    <t>Bilans miesiąca</t>
  </si>
  <si>
    <t>Bilans skumulowany</t>
  </si>
  <si>
    <t>Odchylenie od celu</t>
  </si>
  <si>
    <t>Stałe</t>
  </si>
  <si>
    <t>MIESZKANIE</t>
  </si>
  <si>
    <t>Styczeń</t>
  </si>
  <si>
    <t>Luty</t>
  </si>
  <si>
    <t>Marzec</t>
  </si>
  <si>
    <t>Kwiecień</t>
  </si>
  <si>
    <t>Maj</t>
  </si>
  <si>
    <t>Czerwiec</t>
  </si>
  <si>
    <t>Lipiec</t>
  </si>
  <si>
    <t>Sierpień</t>
  </si>
  <si>
    <t>Wrzesień</t>
  </si>
  <si>
    <t>Październik</t>
  </si>
  <si>
    <t>Zmienne</t>
  </si>
  <si>
    <t>Listopad</t>
  </si>
  <si>
    <t>Grudzień</t>
  </si>
  <si>
    <t>TRANSPORT</t>
  </si>
  <si>
    <t>RAZEM / ŚREDNIA</t>
  </si>
  <si>
    <t>2. PRZEPŁYWY MIESIĘCZNE 2027</t>
  </si>
  <si>
    <t>ŻYCIE I ZDROWIE</t>
  </si>
  <si>
    <t>ROZWÓJ I EDUKACJA</t>
  </si>
  <si>
    <t>3. STRUKTURA WYDATKÓW WEDŁUG KATEGORII</t>
  </si>
  <si>
    <t>Kategoria</t>
  </si>
  <si>
    <t>% wydatków 2026</t>
  </si>
  <si>
    <t>Średnio / miesiąc</t>
  </si>
  <si>
    <t>Zmiana 2027 vs 2026</t>
  </si>
  <si>
    <t>Miesiąc max</t>
  </si>
  <si>
    <t>Miesiąc min</t>
  </si>
  <si>
    <t>ROZRYWKA I INNE</t>
  </si>
  <si>
    <t>FINANSE I OSZCZĘDNOŚCI</t>
  </si>
  <si>
    <t>RAZEM</t>
  </si>
  <si>
    <t>100%</t>
  </si>
  <si>
    <t>4. TOP 10 NAJDROŻSZYCH POZYCJI 2026</t>
  </si>
  <si>
    <t>Lp.</t>
  </si>
  <si>
    <t>Pozycja</t>
  </si>
  <si>
    <t>Kwota roczna</t>
  </si>
  <si>
    <t>% wszystkich wydatków</t>
  </si>
  <si>
    <t>5. KOSZTY STAŁE vs ZMIENNE (2026)</t>
  </si>
  <si>
    <t>Typ kosztu</t>
  </si>
  <si>
    <t>% wydatków</t>
  </si>
  <si>
    <t>6. STATYSTYKI OPISOWE I WSKAŹNIKI 2026</t>
  </si>
  <si>
    <t>Wskaźnik</t>
  </si>
  <si>
    <t>Komentarz</t>
  </si>
  <si>
    <t>Średni miesięczny przychód</t>
  </si>
  <si>
    <t>Średnia z 12 miesięcy planu.</t>
  </si>
  <si>
    <t>Średni miesięczny wydatek konsumpcyjny</t>
  </si>
  <si>
    <t>Bez oszczędności i inwestycji.</t>
  </si>
  <si>
    <t>Mediana wydatków miesięcznych</t>
  </si>
  <si>
    <t>Odporna na miesiące nietypowe.</t>
  </si>
  <si>
    <t>Odchylenie standardowe wydatków</t>
  </si>
  <si>
    <t>Im wyżej, tym mniej przewidywalny budżet.</t>
  </si>
  <si>
    <t>Najdroższy miesiąc</t>
  </si>
  <si>
    <t>Miesiąc o najwyższych wydatkach.</t>
  </si>
  <si>
    <t>Kwota w najdroższym miesiącu</t>
  </si>
  <si>
    <t>Najtańszy miesiąc</t>
  </si>
  <si>
    <t>Kwota w najtańszym miesiącu</t>
  </si>
  <si>
    <t>(Przychody − wydatki konsumpcyjne) / przychody.</t>
  </si>
  <si>
    <t>Cel stopy oszczędności</t>
  </si>
  <si>
    <t>Parametr z arkusza Ustawienia.</t>
  </si>
  <si>
    <t>Realizacja celu</t>
  </si>
  <si>
    <t>Powyżej 100% = cel osiągnięty.</t>
  </si>
  <si>
    <t>Liczba miesięcy z ujemnym bilansem</t>
  </si>
  <si>
    <t>Miesiące, w których wydatki przekraczają przychody.</t>
  </si>
  <si>
    <t>Roczne wydatki konsumpcyjne / 365.</t>
  </si>
  <si>
    <t>Powyżej 40% = wysoka koncentracja.</t>
  </si>
  <si>
    <t>Roczne oszczędności + inwestycje</t>
  </si>
  <si>
    <t>Wolne środki po roku (bilans)</t>
  </si>
  <si>
    <t>Nadwyżka poza zaplanowanymi oszczędnościami.</t>
  </si>
  <si>
    <t>Poduszka: ile miesięcy pokrywa</t>
  </si>
  <si>
    <t>Roczna nadwyżka podzielona przez średni miesięczny koszt.</t>
  </si>
  <si>
    <t>Postęp do celu poduszki finansowej</t>
  </si>
  <si>
    <t>Wobec celu z arkusza Ustawienia.</t>
  </si>
  <si>
    <t>Kapitał po 5 latach (bez stopy zwrotu)</t>
  </si>
  <si>
    <t>Prosta suma nadwyżek, założenie stałych warunków.</t>
  </si>
  <si>
    <t>Kapitał po 5 latach przy 7% r/r</t>
  </si>
  <si>
    <t>ZAŁOŻENIE 7% rocznie — wartość hipotetyczna, nie prognoza.</t>
  </si>
  <si>
    <t>Liczba pozycji wypełnionych</t>
  </si>
  <si>
    <t>Na 47 pozycji kosztowych w arkuszu.</t>
  </si>
  <si>
    <t>Liczba pozycji pustych</t>
  </si>
  <si>
    <t>Wymagają uzupełnienia — lista w sekcji 8.</t>
  </si>
  <si>
    <t>7. BUDŻET KROCZĄCY 2026 — PLAN, PRZENIESIENIA I WYKONANIE</t>
  </si>
  <si>
    <t>Plan miesiąca</t>
  </si>
  <si>
    <t>Dostępne (plan + przeniesienie)</t>
  </si>
  <si>
    <t>Wykonanie</t>
  </si>
  <si>
    <t>Zostaje na kolejny miesiąc</t>
  </si>
  <si>
    <t>Przeniesienie z poprzedniego</t>
  </si>
  <si>
    <t>% wykorzystania budżetu</t>
  </si>
  <si>
    <t>n/d (nie sumuje się)</t>
  </si>
  <si>
    <t>Kolumny zaczną pokazywać wartości po wpisaniu WYKONANIA w arkuszu 'Rollover 2026'.</t>
  </si>
  <si>
    <t>8. PRZEGLĄD KOMPLETNOŚCI DANYCH (pozycje bez kwot)</t>
  </si>
  <si>
    <t>Kwota roczna 2026</t>
  </si>
  <si>
    <t>Status</t>
  </si>
  <si>
    <t>Szczegółowa pozycja</t>
  </si>
  <si>
    <t>SUMA ROK</t>
  </si>
  <si>
    <t>PRZYCHODY</t>
  </si>
  <si>
    <t>Wynagrodzenie (etat/podstawa)</t>
  </si>
  <si>
    <t>Premie/Bonusy</t>
  </si>
  <si>
    <t>Działalność gospodarcza (netto)</t>
  </si>
  <si>
    <t>Freelance / Zlecenia</t>
  </si>
  <si>
    <t>Dochód pasywny (dywidendy/najem)</t>
  </si>
  <si>
    <t>Świadczenia (800+, alimenty)</t>
  </si>
  <si>
    <t>Zwrot podatku</t>
  </si>
  <si>
    <t>Inne przychody</t>
  </si>
  <si>
    <t>RAZEM PRZYCHODY</t>
  </si>
  <si>
    <t>Czynsz / Rata kredytu</t>
  </si>
  <si>
    <t>Czynsz administracyjny</t>
  </si>
  <si>
    <t>Prąd</t>
  </si>
  <si>
    <t>Woda i ścieki</t>
  </si>
  <si>
    <t>Gaz</t>
  </si>
  <si>
    <t>Ogrzewanie</t>
  </si>
  <si>
    <t>Wywóz nieczystości</t>
  </si>
  <si>
    <t>Internet / Wi-Fi</t>
  </si>
  <si>
    <t>Telewizja</t>
  </si>
  <si>
    <t>Ubezpieczenie nieruchomości</t>
  </si>
  <si>
    <t>Serwis/Naprawy domowe</t>
  </si>
  <si>
    <t>Środki czystości/Chemia</t>
  </si>
  <si>
    <t>RAZEM MIESZKANIE</t>
  </si>
  <si>
    <t>Paliwo</t>
  </si>
  <si>
    <t>Rata kredytu/leasingu auta</t>
  </si>
  <si>
    <t>Ubezpieczenie (OC/AC)</t>
  </si>
  <si>
    <t>Przegląd techniczny / Serwis</t>
  </si>
  <si>
    <t>Opony (wymiana/serwis)</t>
  </si>
  <si>
    <t>Bilety komunikacji miejskiej / PKP</t>
  </si>
  <si>
    <t>Taxi / Uber / Bolt</t>
  </si>
  <si>
    <t>Parkingi / Autostrady</t>
  </si>
  <si>
    <t>Akcesoria samochodowe</t>
  </si>
  <si>
    <t>RAZEM TRANSPORT</t>
  </si>
  <si>
    <t>Zakupy spożywcze (market)</t>
  </si>
  <si>
    <t>Jedzenie na mieście / Catering</t>
  </si>
  <si>
    <t>Prywatne wizyty lekarskie</t>
  </si>
  <si>
    <t>Leki i suplementy</t>
  </si>
  <si>
    <t>Dentysta</t>
  </si>
  <si>
    <t>Karnet sportowy / Siłownia</t>
  </si>
  <si>
    <t>Kosmetyczka / Fryzjer</t>
  </si>
  <si>
    <t>Odzież i obuwie</t>
  </si>
  <si>
    <t>RAZEM ŻYCIE I ZDROWIE</t>
  </si>
  <si>
    <t>Czesne za studia / Szkołę</t>
  </si>
  <si>
    <t>Kursy online / Szkolenia</t>
  </si>
  <si>
    <t>Książki / E-booki</t>
  </si>
  <si>
    <t>Subskrypcje edukacyjne</t>
  </si>
  <si>
    <t>Sprzęt edukacyjny (laptop, tablet)</t>
  </si>
  <si>
    <t>RAZEM ROZWÓJ I EDUKACJA</t>
  </si>
  <si>
    <t>Netflix / Disney+ / Spotify</t>
  </si>
  <si>
    <t>Kino / Teatr / Koncerty</t>
  </si>
  <si>
    <t>Hobby / Akcesoria</t>
  </si>
  <si>
    <t>Zwierzęta (karma, weterynarz)</t>
  </si>
  <si>
    <t>Dzieci (zajęcia, zabawki, kieszonkowe)</t>
  </si>
  <si>
    <t>Prezenty</t>
  </si>
  <si>
    <t>Wyjścia z przyjaciółmi</t>
  </si>
  <si>
    <t>Inne nieprzewidziane</t>
  </si>
  <si>
    <t>RAZEM ROZRYWKA I INNE</t>
  </si>
  <si>
    <t>Poduszka finansowa (Fundusz awaryjny)</t>
  </si>
  <si>
    <t>Konto emerytalne (IKE/IKZE)</t>
  </si>
  <si>
    <t>Inwestycje (Giełda/ETF)</t>
  </si>
  <si>
    <t>Oszczędności celowe (Wakacje)</t>
  </si>
  <si>
    <t>Spłata długów (poza ratami)</t>
  </si>
  <si>
    <t>RAZEM FINANSE I OSZCZĘDNOŚCI</t>
  </si>
  <si>
    <t>PODSUMOWANIE</t>
  </si>
  <si>
    <t>Kategoria główna</t>
  </si>
  <si>
    <t>ŁĄCZNE PRZYCHODY</t>
  </si>
  <si>
    <t>ŁĄCZNE WYDATKI I OSZCZĘDNOŚCI</t>
  </si>
  <si>
    <t>BILANS (OSZCZĘDNOŚCI NETTO)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</si>
</sst>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&quot; zł&quot;"/>
    <numFmt numFmtId="165" formatCode="0.0%"/>
    <numFmt numFmtId="166" formatCode="0.0"/>
  </numFmts>
  <fonts count="12" x14ac:knownFonts="1">
    <font>
      <sz val="11"/>
      <color theme="1"/>
      <name val="Calibri"/>
      <family val="2"/>
      <charset val="1"/>
    </font>
    <font>
      <b/>
      <sz val="18"/>
      <color rgb="FFFFFFFF"/>
      <name val="Segoe UI"/>
      <charset val="1"/>
    </font>
    <font>
      <b/>
      <sz val="10"/>
      <color rgb="FF1E293B"/>
      <name val="Segoe UI"/>
      <charset val="1"/>
    </font>
    <font>
      <sz val="10"/>
      <color rgb="FF334155"/>
      <name val="Segoe UI"/>
      <charset val="1"/>
    </font>
    <font>
      <b/>
      <sz val="11"/>
      <color rgb="FFFFFFFF"/>
      <name val="Segoe UI"/>
      <charset val="1"/>
    </font>
    <font>
      <b/>
      <sz val="10"/>
      <color rgb="FFFFFFFF"/>
      <name val="Segoe UI"/>
      <charset val="1"/>
    </font>
    <font>
      <sz val="10"/>
      <color rgb="FF1D4ED8"/>
      <name val="Segoe UI"/>
      <charset val="1"/>
    </font>
    <font>
      <b/>
      <sz val="11"/>
      <color rgb="FF1E293B"/>
      <name val="Segoe UI"/>
      <charset val="1"/>
    </font>
    <font>
      <i/>
      <sz val="9"/>
      <color rgb="FF64748B"/>
      <name val="Segoe UI"/>
      <charset val="1"/>
    </font>
    <font>
      <sz val="10"/>
      <color rgb="FF15803D"/>
      <name val="Segoe UI"/>
      <charset val="1"/>
    </font>
    <font>
      <sz val="10"/>
      <name val="Arial"/>
      <family val="2"/>
    </font>
    <font>
      <sz val="10"/>
      <color rgb="FF334155"/>
      <name val="Segoe UI"/>
    </font>
  </fonts>
  <fills count="11">
    <fill>
      <patternFill patternType="none"/>
    </fill>
    <fill>
      <patternFill patternType="gray125"/>
    </fill>
    <fill>
      <patternFill patternType="solid">
        <fgColor rgb="FF1E293B"/>
        <bgColor rgb="FF003366"/>
      </patternFill>
    </fill>
    <fill>
      <patternFill patternType="solid">
        <fgColor rgb="FFE2E8F0"/>
        <bgColor rgb="FFF1F5F9"/>
      </patternFill>
    </fill>
    <fill>
      <patternFill patternType="solid">
        <fgColor rgb="FF0EA5E9"/>
        <bgColor rgb="FF4BACC6"/>
      </patternFill>
    </fill>
    <fill>
      <patternFill patternType="solid">
        <fgColor rgb="FFF8FAFC"/>
        <bgColor rgb="FFFFFFFF"/>
      </patternFill>
    </fill>
    <fill>
      <patternFill patternType="solid">
        <fgColor rgb="FFD1FAE5"/>
        <bgColor rgb="FFDCFCE7"/>
      </patternFill>
    </fill>
    <fill>
      <patternFill patternType="solid">
        <fgColor rgb="FFFFE4E6"/>
        <bgColor rgb="FFFEE2E2"/>
      </patternFill>
    </fill>
    <fill>
      <patternFill patternType="solid">
        <fgColor theme="6"/>
        <bgColor indexed="64"/>
      </patternFill>
    </fill>
    <fill>
      <patternFill patternType="solid">
        <fgColor theme="6"/>
        <bgColor rgb="FFF8FAFC"/>
      </patternFill>
    </fill>
    <fill>
      <patternFill patternType="solid">
        <fgColor rgb="FFF8FAFC"/>
        <bgColor rgb="FFF8FAFC"/>
      </patternFill>
    </fill>
  </fills>
  <borders count="3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thin">
        <color rgb="FF1E293B"/>
      </top>
      <bottom style="double">
        <color rgb="FF1E293B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2" fillId="0" borderId="0" xfId="0" applyFont="1"/>
    <xf numFmtId="0" fontId="3" fillId="0" borderId="0" xfId="0" applyFont="1"/>
    <xf numFmtId="0" fontId="2" fillId="3" borderId="1" xfId="0" applyFont="1" applyFill="1" applyBorder="1" applyAlignment="1">
      <alignment horizontal="center" wrapText="1"/>
    </xf>
    <xf numFmtId="164" fontId="2" fillId="3" borderId="1" xfId="0" applyNumberFormat="1" applyFont="1" applyFill="1" applyBorder="1" applyAlignment="1">
      <alignment horizontal="center" wrapText="1"/>
    </xf>
    <xf numFmtId="0" fontId="2" fillId="0" borderId="1" xfId="0" applyFont="1" applyBorder="1"/>
    <xf numFmtId="164" fontId="3" fillId="0" borderId="1" xfId="0" applyNumberFormat="1" applyFont="1" applyBorder="1"/>
    <xf numFmtId="165" fontId="3" fillId="0" borderId="1" xfId="0" applyNumberFormat="1" applyFont="1" applyBorder="1"/>
    <xf numFmtId="0" fontId="5" fillId="4" borderId="0" xfId="0" applyFont="1" applyFill="1"/>
    <xf numFmtId="164" fontId="5" fillId="4" borderId="0" xfId="0" applyNumberFormat="1" applyFont="1" applyFill="1"/>
    <xf numFmtId="165" fontId="5" fillId="4" borderId="0" xfId="0" applyNumberFormat="1" applyFont="1" applyFill="1"/>
    <xf numFmtId="0" fontId="3" fillId="0" borderId="1" xfId="0" applyFont="1" applyBorder="1"/>
    <xf numFmtId="164" fontId="2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right"/>
    </xf>
    <xf numFmtId="165" fontId="2" fillId="0" borderId="1" xfId="0" applyNumberFormat="1" applyFont="1" applyBorder="1" applyAlignment="1">
      <alignment horizontal="right"/>
    </xf>
    <xf numFmtId="1" fontId="2" fillId="0" borderId="1" xfId="0" applyNumberFormat="1" applyFont="1" applyBorder="1" applyAlignment="1">
      <alignment horizontal="right"/>
    </xf>
    <xf numFmtId="0" fontId="7" fillId="3" borderId="0" xfId="0" applyFont="1" applyFill="1"/>
    <xf numFmtId="0" fontId="8" fillId="0" borderId="0" xfId="0" applyFont="1"/>
    <xf numFmtId="164" fontId="8" fillId="0" borderId="0" xfId="0" applyNumberFormat="1" applyFont="1"/>
    <xf numFmtId="0" fontId="6" fillId="0" borderId="0" xfId="0" applyFont="1"/>
    <xf numFmtId="164" fontId="9" fillId="0" borderId="1" xfId="0" applyNumberFormat="1" applyFont="1" applyBorder="1"/>
    <xf numFmtId="164" fontId="2" fillId="0" borderId="1" xfId="0" applyNumberFormat="1" applyFont="1" applyBorder="1"/>
    <xf numFmtId="165" fontId="0" fillId="0" borderId="1" xfId="0" applyNumberFormat="1" applyBorder="1"/>
    <xf numFmtId="164" fontId="0" fillId="0" borderId="1" xfId="0" applyNumberFormat="1" applyBorder="1"/>
    <xf numFmtId="0" fontId="8" fillId="0" borderId="1" xfId="0" applyFont="1" applyBorder="1"/>
    <xf numFmtId="166" fontId="2" fillId="0" borderId="1" xfId="0" applyNumberFormat="1" applyFont="1" applyBorder="1" applyAlignment="1">
      <alignment horizontal="right"/>
    </xf>
    <xf numFmtId="0" fontId="9" fillId="0" borderId="1" xfId="0" applyFont="1" applyBorder="1"/>
    <xf numFmtId="0" fontId="4" fillId="2" borderId="0" xfId="0" applyFont="1" applyFill="1" applyAlignment="1">
      <alignment horizontal="center" vertical="center" wrapText="1"/>
    </xf>
    <xf numFmtId="0" fontId="0" fillId="3" borderId="0" xfId="0" applyFill="1"/>
    <xf numFmtId="164" fontId="6" fillId="0" borderId="1" xfId="0" applyNumberFormat="1" applyFont="1" applyBorder="1"/>
    <xf numFmtId="0" fontId="3" fillId="5" borderId="1" xfId="0" applyFont="1" applyFill="1" applyBorder="1"/>
    <xf numFmtId="164" fontId="3" fillId="5" borderId="1" xfId="0" applyNumberFormat="1" applyFont="1" applyFill="1" applyBorder="1"/>
    <xf numFmtId="164" fontId="2" fillId="5" borderId="1" xfId="0" applyNumberFormat="1" applyFont="1" applyFill="1" applyBorder="1"/>
    <xf numFmtId="0" fontId="2" fillId="0" borderId="2" xfId="0" applyFont="1" applyBorder="1"/>
    <xf numFmtId="164" fontId="2" fillId="0" borderId="2" xfId="0" applyNumberFormat="1" applyFont="1" applyBorder="1"/>
    <xf numFmtId="164" fontId="6" fillId="5" borderId="1" xfId="0" applyNumberFormat="1" applyFont="1" applyFill="1" applyBorder="1"/>
    <xf numFmtId="0" fontId="3" fillId="6" borderId="1" xfId="0" applyFont="1" applyFill="1" applyBorder="1"/>
    <xf numFmtId="0" fontId="2" fillId="6" borderId="1" xfId="0" applyFont="1" applyFill="1" applyBorder="1"/>
    <xf numFmtId="164" fontId="2" fillId="6" borderId="1" xfId="0" applyNumberFormat="1" applyFont="1" applyFill="1" applyBorder="1"/>
    <xf numFmtId="0" fontId="3" fillId="7" borderId="1" xfId="0" applyFont="1" applyFill="1" applyBorder="1"/>
    <xf numFmtId="0" fontId="2" fillId="7" borderId="1" xfId="0" applyFont="1" applyFill="1" applyBorder="1"/>
    <xf numFmtId="164" fontId="2" fillId="7" borderId="1" xfId="0" applyNumberFormat="1" applyFont="1" applyFill="1" applyBorder="1"/>
    <xf numFmtId="0" fontId="4" fillId="4" borderId="2" xfId="0" applyFont="1" applyFill="1" applyBorder="1"/>
    <xf numFmtId="164" fontId="4" fillId="4" borderId="2" xfId="0" applyNumberFormat="1" applyFont="1" applyFill="1" applyBorder="1"/>
    <xf numFmtId="164" fontId="9" fillId="5" borderId="1" xfId="0" applyNumberFormat="1" applyFont="1" applyFill="1" applyBorder="1"/>
    <xf numFmtId="164" fontId="11" fillId="8" borderId="1" xfId="0" applyNumberFormat="1" applyFont="1" applyFill="1" applyBorder="1"/>
    <xf numFmtId="164" fontId="11" fillId="9" borderId="1" xfId="0" applyNumberFormat="1" applyFont="1" applyFill="1" applyBorder="1"/>
    <xf numFmtId="164" fontId="11" fillId="0" borderId="1" xfId="0" applyNumberFormat="1" applyFont="1" applyBorder="1"/>
    <xf numFmtId="164" fontId="11" fillId="10" borderId="1" xfId="0" applyNumberFormat="1" applyFont="1" applyFill="1" applyBorder="1"/>
    <xf numFmtId="0" fontId="1" fillId="2" borderId="0" xfId="0" applyFont="1" applyFill="1" applyAlignment="1">
      <alignment horizontal="center" vertical="center"/>
    </xf>
    <xf numFmtId="0" fontId="4" fillId="2" borderId="0" xfId="0" applyFont="1" applyFill="1"/>
    <xf numFmtId="0" fontId="4" fillId="2" borderId="0" xfId="0" applyFont="1" applyFill="1" applyAlignment="1">
      <alignment horizontal="left" vertical="center"/>
    </xf>
  </cellXfs>
  <cellStyles count="1">
    <cellStyle name="Normalny" xfId="0" builtinId="0"/>
  </cellStyles>
  <dxfs count="9">
    <dxf>
      <font>
        <b/>
        <sz val="10"/>
        <color rgb="FF15803D"/>
        <name val="Segoe UI"/>
        <charset val="1"/>
      </font>
      <fill>
        <patternFill>
          <bgColor rgb="FFDCFCE7"/>
        </patternFill>
      </fill>
    </dxf>
    <dxf>
      <font>
        <b/>
        <sz val="10"/>
        <color rgb="FFB91C1C"/>
        <name val="Segoe UI"/>
        <charset val="1"/>
      </font>
      <fill>
        <patternFill>
          <bgColor rgb="FFFEE2E2"/>
        </patternFill>
      </fill>
    </dxf>
    <dxf>
      <font>
        <b/>
        <sz val="10"/>
        <color rgb="FF15803D"/>
        <name val="Segoe UI"/>
        <charset val="1"/>
      </font>
      <fill>
        <patternFill>
          <bgColor rgb="FFDCFCE7"/>
        </patternFill>
      </fill>
    </dxf>
    <dxf>
      <font>
        <b/>
        <sz val="10"/>
        <color rgb="FFB91C1C"/>
        <name val="Segoe UI"/>
        <charset val="1"/>
      </font>
      <fill>
        <patternFill>
          <bgColor rgb="FFFEE2E2"/>
        </patternFill>
      </fill>
    </dxf>
    <dxf>
      <font>
        <b/>
        <sz val="10"/>
        <color rgb="FF15803D"/>
        <name val="Segoe UI"/>
        <charset val="1"/>
      </font>
      <fill>
        <patternFill>
          <bgColor rgb="FFDCFCE7"/>
        </patternFill>
      </fill>
    </dxf>
    <dxf>
      <font>
        <b/>
        <sz val="10"/>
        <color rgb="FFB91C1C"/>
        <name val="Segoe UI"/>
        <charset val="1"/>
      </font>
      <fill>
        <patternFill>
          <bgColor rgb="FFFEE2E2"/>
        </patternFill>
      </fill>
    </dxf>
    <dxf>
      <font>
        <b/>
        <sz val="10"/>
        <color rgb="FF15803D"/>
        <name val="Segoe UI"/>
        <charset val="1"/>
      </font>
      <fill>
        <patternFill>
          <bgColor rgb="FFDCFCE7"/>
        </patternFill>
      </fill>
    </dxf>
    <dxf>
      <font>
        <b/>
        <sz val="10"/>
        <color rgb="FFB91C1C"/>
        <name val="Segoe UI"/>
        <charset val="1"/>
      </font>
      <fill>
        <patternFill>
          <bgColor rgb="FFFEE2E2"/>
        </patternFill>
      </fill>
    </dxf>
    <dxf>
      <fill>
        <patternFill>
          <bgColor rgb="FFFEF3C7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5803D"/>
      <rgbColor rgb="FF000080"/>
      <rgbColor rgb="FF808000"/>
      <rgbColor rgb="FF800080"/>
      <rgbColor rgb="FF008080"/>
      <rgbColor rgb="FFD9D9D9"/>
      <rgbColor rgb="FF878787"/>
      <rgbColor rgb="FF9999FF"/>
      <rgbColor rgb="FFC0504D"/>
      <rgbColor rgb="FFFEF3C7"/>
      <rgbColor rgb="FFDCFCE7"/>
      <rgbColor rgb="FF660066"/>
      <rgbColor rgb="FFFF8080"/>
      <rgbColor rgb="FF1D4ED8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EA5E9"/>
      <rgbColor rgb="FFF1F5F9"/>
      <rgbColor rgb="FFD1FAE5"/>
      <rgbColor rgb="FFFFE4E6"/>
      <rgbColor rgb="FFE2E8F0"/>
      <rgbColor rgb="FFF8FAFC"/>
      <rgbColor rgb="FFCC99FF"/>
      <rgbColor rgb="FFFEE2E2"/>
      <rgbColor rgb="FF4A7EBB"/>
      <rgbColor rgb="FF4BACC6"/>
      <rgbColor rgb="FF9BBB59"/>
      <rgbColor rgb="FFFFCC00"/>
      <rgbColor rgb="FFF79646"/>
      <rgbColor rgb="FFFF6600"/>
      <rgbColor rgb="FF64748B"/>
      <rgbColor rgb="FF8064A2"/>
      <rgbColor rgb="FF003366"/>
      <rgbColor rgb="FF4F81BD"/>
      <rgbColor rgb="FF003300"/>
      <rgbColor rgb="FF333300"/>
      <rgbColor rgb="FFB91C1C"/>
      <rgbColor rgb="FF993366"/>
      <rgbColor rgb="FF334155"/>
      <rgbColor rgb="FF1E293B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pl-PL" sz="1800" b="1" strike="noStrike" spc="-1">
                <a:solidFill>
                  <a:srgbClr val="000000"/>
                </a:solidFill>
                <a:latin typeface="Calibri"/>
              </a:rPr>
              <a:t>Przychody, wydatki i oszczędności — 2026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Statystyki!$B$4</c:f>
              <c:strCache>
                <c:ptCount val="1"/>
                <c:pt idx="0">
                  <c:v>Przychody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pl-PL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Statystyki!$A$5:$A$16</c:f>
              <c:strCache>
                <c:ptCount val="12"/>
                <c:pt idx="0">
                  <c:v>Styczeń</c:v>
                </c:pt>
                <c:pt idx="1">
                  <c:v>Luty</c:v>
                </c:pt>
                <c:pt idx="2">
                  <c:v>Marzec</c:v>
                </c:pt>
                <c:pt idx="3">
                  <c:v>Kwiecień</c:v>
                </c:pt>
                <c:pt idx="4">
                  <c:v>Maj</c:v>
                </c:pt>
                <c:pt idx="5">
                  <c:v>Czerwiec</c:v>
                </c:pt>
                <c:pt idx="6">
                  <c:v>Lipiec</c:v>
                </c:pt>
                <c:pt idx="7">
                  <c:v>Sierpień</c:v>
                </c:pt>
                <c:pt idx="8">
                  <c:v>Wrzesień</c:v>
                </c:pt>
                <c:pt idx="9">
                  <c:v>Październik</c:v>
                </c:pt>
                <c:pt idx="10">
                  <c:v>Listopad</c:v>
                </c:pt>
                <c:pt idx="11">
                  <c:v>Grudzień</c:v>
                </c:pt>
              </c:strCache>
            </c:strRef>
          </c:cat>
          <c:val>
            <c:numRef>
              <c:f>Statystyki!$B$5:$B$16</c:f>
              <c:numCache>
                <c:formatCode>#\ ##0.00" zł"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4063</c:v>
                </c:pt>
                <c:pt idx="7">
                  <c:v>2963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AE-44CF-9FB9-445FFF932E05}"/>
            </c:ext>
          </c:extLst>
        </c:ser>
        <c:ser>
          <c:idx val="1"/>
          <c:order val="1"/>
          <c:tx>
            <c:strRef>
              <c:f>Statystyki!$C$4</c:f>
              <c:strCache>
                <c:ptCount val="1"/>
                <c:pt idx="0">
                  <c:v>Wydatki konsumpcyjne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pl-PL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Statystyki!$A$5:$A$16</c:f>
              <c:strCache>
                <c:ptCount val="12"/>
                <c:pt idx="0">
                  <c:v>Styczeń</c:v>
                </c:pt>
                <c:pt idx="1">
                  <c:v>Luty</c:v>
                </c:pt>
                <c:pt idx="2">
                  <c:v>Marzec</c:v>
                </c:pt>
                <c:pt idx="3">
                  <c:v>Kwiecień</c:v>
                </c:pt>
                <c:pt idx="4">
                  <c:v>Maj</c:v>
                </c:pt>
                <c:pt idx="5">
                  <c:v>Czerwiec</c:v>
                </c:pt>
                <c:pt idx="6">
                  <c:v>Lipiec</c:v>
                </c:pt>
                <c:pt idx="7">
                  <c:v>Sierpień</c:v>
                </c:pt>
                <c:pt idx="8">
                  <c:v>Wrzesień</c:v>
                </c:pt>
                <c:pt idx="9">
                  <c:v>Październik</c:v>
                </c:pt>
                <c:pt idx="10">
                  <c:v>Listopad</c:v>
                </c:pt>
                <c:pt idx="11">
                  <c:v>Grudzień</c:v>
                </c:pt>
              </c:strCache>
            </c:strRef>
          </c:cat>
          <c:val>
            <c:numRef>
              <c:f>Statystyki!$C$5:$C$16</c:f>
              <c:numCache>
                <c:formatCode>#\ ##0.00" zł"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5378</c:v>
                </c:pt>
                <c:pt idx="7">
                  <c:v>326</c:v>
                </c:pt>
                <c:pt idx="8">
                  <c:v>55</c:v>
                </c:pt>
                <c:pt idx="9">
                  <c:v>55</c:v>
                </c:pt>
                <c:pt idx="10">
                  <c:v>55</c:v>
                </c:pt>
                <c:pt idx="11">
                  <c:v>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9AE-44CF-9FB9-445FFF932E05}"/>
            </c:ext>
          </c:extLst>
        </c:ser>
        <c:ser>
          <c:idx val="2"/>
          <c:order val="2"/>
          <c:tx>
            <c:strRef>
              <c:f>Statystyki!$D$4</c:f>
              <c:strCache>
                <c:ptCount val="1"/>
                <c:pt idx="0">
                  <c:v>Oszczędności / inwestycje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pl-PL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Statystyki!$A$5:$A$16</c:f>
              <c:strCache>
                <c:ptCount val="12"/>
                <c:pt idx="0">
                  <c:v>Styczeń</c:v>
                </c:pt>
                <c:pt idx="1">
                  <c:v>Luty</c:v>
                </c:pt>
                <c:pt idx="2">
                  <c:v>Marzec</c:v>
                </c:pt>
                <c:pt idx="3">
                  <c:v>Kwiecień</c:v>
                </c:pt>
                <c:pt idx="4">
                  <c:v>Maj</c:v>
                </c:pt>
                <c:pt idx="5">
                  <c:v>Czerwiec</c:v>
                </c:pt>
                <c:pt idx="6">
                  <c:v>Lipiec</c:v>
                </c:pt>
                <c:pt idx="7">
                  <c:v>Sierpień</c:v>
                </c:pt>
                <c:pt idx="8">
                  <c:v>Wrzesień</c:v>
                </c:pt>
                <c:pt idx="9">
                  <c:v>Październik</c:v>
                </c:pt>
                <c:pt idx="10">
                  <c:v>Listopad</c:v>
                </c:pt>
                <c:pt idx="11">
                  <c:v>Grudzień</c:v>
                </c:pt>
              </c:strCache>
            </c:strRef>
          </c:cat>
          <c:val>
            <c:numRef>
              <c:f>Statystyki!$D$5:$D$16</c:f>
              <c:numCache>
                <c:formatCode>#\ ##0.00" zł"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8000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9AE-44CF-9FB9-445FFF932E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4851729"/>
        <c:axId val="85498726"/>
      </c:barChart>
      <c:catAx>
        <c:axId val="8485172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l-PL"/>
          </a:p>
        </c:txPr>
        <c:crossAx val="85498726"/>
        <c:crosses val="autoZero"/>
        <c:auto val="1"/>
        <c:lblAlgn val="ctr"/>
        <c:lblOffset val="100"/>
        <c:noMultiLvlLbl val="0"/>
      </c:catAx>
      <c:valAx>
        <c:axId val="8549872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pl-PL" sz="1000" b="1" strike="noStrike" spc="-1">
                    <a:solidFill>
                      <a:srgbClr val="000000"/>
                    </a:solidFill>
                    <a:latin typeface="Calibri"/>
                  </a:rPr>
                  <a:t>zł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\ ##0.00&quot; zł&quot;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l-PL"/>
          </a:p>
        </c:txPr>
        <c:crossAx val="8485172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pl-PL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pl-PL" sz="1800" b="1" strike="noStrike" spc="-1">
                <a:solidFill>
                  <a:srgbClr val="000000"/>
                </a:solidFill>
                <a:latin typeface="Calibri"/>
              </a:rPr>
              <a:t>Bilans skumulowany — 2026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Statystyki!$F$4</c:f>
              <c:strCache>
                <c:ptCount val="1"/>
                <c:pt idx="0">
                  <c:v>Bilans skumulowany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pl-PL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Statystyki!$A$5:$A$16</c:f>
              <c:strCache>
                <c:ptCount val="12"/>
                <c:pt idx="0">
                  <c:v>Styczeń</c:v>
                </c:pt>
                <c:pt idx="1">
                  <c:v>Luty</c:v>
                </c:pt>
                <c:pt idx="2">
                  <c:v>Marzec</c:v>
                </c:pt>
                <c:pt idx="3">
                  <c:v>Kwiecień</c:v>
                </c:pt>
                <c:pt idx="4">
                  <c:v>Maj</c:v>
                </c:pt>
                <c:pt idx="5">
                  <c:v>Czerwiec</c:v>
                </c:pt>
                <c:pt idx="6">
                  <c:v>Lipiec</c:v>
                </c:pt>
                <c:pt idx="7">
                  <c:v>Sierpień</c:v>
                </c:pt>
                <c:pt idx="8">
                  <c:v>Wrzesień</c:v>
                </c:pt>
                <c:pt idx="9">
                  <c:v>Październik</c:v>
                </c:pt>
                <c:pt idx="10">
                  <c:v>Listopad</c:v>
                </c:pt>
                <c:pt idx="11">
                  <c:v>Grudzień</c:v>
                </c:pt>
              </c:strCache>
            </c:strRef>
          </c:cat>
          <c:val>
            <c:numRef>
              <c:f>Statystyki!$F$5:$F$16</c:f>
              <c:numCache>
                <c:formatCode>#\ ##0.00" zł"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-9315</c:v>
                </c:pt>
                <c:pt idx="7">
                  <c:v>-6678</c:v>
                </c:pt>
                <c:pt idx="8">
                  <c:v>-6733</c:v>
                </c:pt>
                <c:pt idx="9">
                  <c:v>-6788</c:v>
                </c:pt>
                <c:pt idx="10">
                  <c:v>-6843</c:v>
                </c:pt>
                <c:pt idx="11">
                  <c:v>-6898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DCB-4931-9298-8963F260B8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62998116"/>
        <c:axId val="36055824"/>
      </c:lineChart>
      <c:catAx>
        <c:axId val="629981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l-PL"/>
          </a:p>
        </c:txPr>
        <c:crossAx val="36055824"/>
        <c:crosses val="autoZero"/>
        <c:auto val="1"/>
        <c:lblAlgn val="ctr"/>
        <c:lblOffset val="100"/>
        <c:noMultiLvlLbl val="0"/>
      </c:catAx>
      <c:valAx>
        <c:axId val="3605582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pl-PL" sz="1000" b="1" strike="noStrike" spc="-1">
                    <a:solidFill>
                      <a:srgbClr val="000000"/>
                    </a:solidFill>
                    <a:latin typeface="Calibri"/>
                  </a:rPr>
                  <a:t>zł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\ ##0.00&quot; zł&quot;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l-PL"/>
          </a:p>
        </c:txPr>
        <c:crossAx val="6299811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pl-PL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pl-PL" sz="1800" b="1" strike="noStrike" spc="-1">
                <a:solidFill>
                  <a:srgbClr val="000000"/>
                </a:solidFill>
                <a:latin typeface="Calibri"/>
              </a:rPr>
              <a:t>Struktura wydatków wg kategorii — 2026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Statystyki!$B$37</c:f>
              <c:strCache>
                <c:ptCount val="1"/>
                <c:pt idx="0">
                  <c:v>Rok 2026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C32A-444F-8957-D7D0ADACD096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C32A-444F-8957-D7D0ADACD096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C32A-444F-8957-D7D0ADACD096}"/>
              </c:ext>
            </c:extLst>
          </c:dPt>
          <c:dPt>
            <c:idx val="3"/>
            <c:bubble3D val="0"/>
            <c:spPr>
              <a:solidFill>
                <a:srgbClr val="8064A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C32A-444F-8957-D7D0ADACD096}"/>
              </c:ext>
            </c:extLst>
          </c:dPt>
          <c:dPt>
            <c:idx val="4"/>
            <c:bubble3D val="0"/>
            <c:spPr>
              <a:solidFill>
                <a:srgbClr val="4BACC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9-C32A-444F-8957-D7D0ADACD096}"/>
              </c:ext>
            </c:extLst>
          </c:dPt>
          <c:dPt>
            <c:idx val="5"/>
            <c:bubble3D val="0"/>
            <c:spPr>
              <a:solidFill>
                <a:srgbClr val="F7964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B-C32A-444F-8957-D7D0ADACD096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l-PL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32A-444F-8957-D7D0ADACD096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l-PL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32A-444F-8957-D7D0ADACD096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l-PL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32A-444F-8957-D7D0ADACD096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l-PL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C32A-444F-8957-D7D0ADACD096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l-PL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C32A-444F-8957-D7D0ADACD096}"/>
                </c:ext>
              </c:extLst>
            </c:dLbl>
            <c:dLbl>
              <c:idx val="5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l-PL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C32A-444F-8957-D7D0ADACD09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pl-PL"/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Statystyki!$A$38:$A$43</c:f>
              <c:strCache>
                <c:ptCount val="6"/>
                <c:pt idx="0">
                  <c:v>MIESZKANIE</c:v>
                </c:pt>
                <c:pt idx="1">
                  <c:v>TRANSPORT</c:v>
                </c:pt>
                <c:pt idx="2">
                  <c:v>ŻYCIE I ZDROWIE</c:v>
                </c:pt>
                <c:pt idx="3">
                  <c:v>ROZWÓJ I EDUKACJA</c:v>
                </c:pt>
                <c:pt idx="4">
                  <c:v>ROZRYWKA I INNE</c:v>
                </c:pt>
                <c:pt idx="5">
                  <c:v>FINANSE I OSZCZĘDNOŚCI</c:v>
                </c:pt>
              </c:strCache>
            </c:strRef>
          </c:cat>
          <c:val>
            <c:numRef>
              <c:f>Statystyki!$B$38:$B$43</c:f>
              <c:numCache>
                <c:formatCode>#\ ##0.00" zł"</c:formatCode>
                <c:ptCount val="6"/>
                <c:pt idx="0">
                  <c:v>856</c:v>
                </c:pt>
                <c:pt idx="1">
                  <c:v>50</c:v>
                </c:pt>
                <c:pt idx="2">
                  <c:v>2800</c:v>
                </c:pt>
                <c:pt idx="3">
                  <c:v>768</c:v>
                </c:pt>
                <c:pt idx="4">
                  <c:v>1450</c:v>
                </c:pt>
                <c:pt idx="5">
                  <c:v>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C32A-444F-8957-D7D0ADACD0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pl-PL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pl-PL" sz="1800" b="1" strike="noStrike" spc="-1">
                <a:solidFill>
                  <a:srgbClr val="000000"/>
                </a:solidFill>
                <a:latin typeface="Calibri"/>
              </a:rPr>
              <a:t>TOP 10 najdroższych pozycji — 2026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Statystyki!$C$47</c:f>
              <c:strCache>
                <c:ptCount val="1"/>
                <c:pt idx="0">
                  <c:v>Kwota roczna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pl-PL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Statystyki!$B$48:$B$57</c:f>
              <c:strCache>
                <c:ptCount val="10"/>
                <c:pt idx="0">
                  <c:v>Inwestycje (Giełda/ETF)</c:v>
                </c:pt>
                <c:pt idx="1">
                  <c:v>Prywatne wizyty lekarskie</c:v>
                </c:pt>
                <c:pt idx="2">
                  <c:v>Inne nieprzewidziane</c:v>
                </c:pt>
                <c:pt idx="3">
                  <c:v>Czesne za studia / Szkołę</c:v>
                </c:pt>
                <c:pt idx="4">
                  <c:v>Zakupy spożywcze (market)</c:v>
                </c:pt>
                <c:pt idx="5">
                  <c:v>Internet / Wi-Fi</c:v>
                </c:pt>
                <c:pt idx="6">
                  <c:v>Wyjścia z przyjaciółmi</c:v>
                </c:pt>
                <c:pt idx="7">
                  <c:v>Jedzenie na mieście / Catering</c:v>
                </c:pt>
                <c:pt idx="8">
                  <c:v>Prąd</c:v>
                </c:pt>
                <c:pt idx="9">
                  <c:v>Gaz</c:v>
                </c:pt>
              </c:strCache>
            </c:strRef>
          </c:cat>
          <c:val>
            <c:numRef>
              <c:f>Statystyki!$C$48:$C$57</c:f>
              <c:numCache>
                <c:formatCode>#\ ##0.00" zł"</c:formatCode>
                <c:ptCount val="10"/>
                <c:pt idx="0">
                  <c:v>8000</c:v>
                </c:pt>
                <c:pt idx="1">
                  <c:v>2000</c:v>
                </c:pt>
                <c:pt idx="2">
                  <c:v>1000</c:v>
                </c:pt>
                <c:pt idx="3">
                  <c:v>768</c:v>
                </c:pt>
                <c:pt idx="4">
                  <c:v>500</c:v>
                </c:pt>
                <c:pt idx="5">
                  <c:v>385</c:v>
                </c:pt>
                <c:pt idx="6">
                  <c:v>300</c:v>
                </c:pt>
                <c:pt idx="7">
                  <c:v>300</c:v>
                </c:pt>
                <c:pt idx="8">
                  <c:v>271</c:v>
                </c:pt>
                <c:pt idx="9">
                  <c:v>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5B-4D7D-B6C0-B3C8B00FC5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0603004"/>
        <c:axId val="29899673"/>
      </c:barChart>
      <c:catAx>
        <c:axId val="906030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l-PL"/>
          </a:p>
        </c:txPr>
        <c:crossAx val="29899673"/>
        <c:crosses val="autoZero"/>
        <c:auto val="1"/>
        <c:lblAlgn val="ctr"/>
        <c:lblOffset val="100"/>
        <c:noMultiLvlLbl val="0"/>
      </c:catAx>
      <c:valAx>
        <c:axId val="29899673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\ ##0.00&quot; zł&quot;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l-PL"/>
          </a:p>
        </c:txPr>
        <c:crossAx val="9060300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pl-PL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pl-PL" sz="1800" b="1" strike="noStrike" spc="-1">
                <a:solidFill>
                  <a:srgbClr val="000000"/>
                </a:solidFill>
                <a:latin typeface="Calibri"/>
              </a:rPr>
              <a:t>Porównanie kategorii 2026 vs 2027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Statystyki!$B$37</c:f>
              <c:strCache>
                <c:ptCount val="1"/>
                <c:pt idx="0">
                  <c:v>Rok 2026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pl-PL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Statystyki!$A$38:$A$43</c:f>
              <c:strCache>
                <c:ptCount val="6"/>
                <c:pt idx="0">
                  <c:v>MIESZKANIE</c:v>
                </c:pt>
                <c:pt idx="1">
                  <c:v>TRANSPORT</c:v>
                </c:pt>
                <c:pt idx="2">
                  <c:v>ŻYCIE I ZDROWIE</c:v>
                </c:pt>
                <c:pt idx="3">
                  <c:v>ROZWÓJ I EDUKACJA</c:v>
                </c:pt>
                <c:pt idx="4">
                  <c:v>ROZRYWKA I INNE</c:v>
                </c:pt>
                <c:pt idx="5">
                  <c:v>FINANSE I OSZCZĘDNOŚCI</c:v>
                </c:pt>
              </c:strCache>
            </c:strRef>
          </c:cat>
          <c:val>
            <c:numRef>
              <c:f>Statystyki!$B$38:$B$43</c:f>
              <c:numCache>
                <c:formatCode>#\ ##0.00" zł"</c:formatCode>
                <c:ptCount val="6"/>
                <c:pt idx="0">
                  <c:v>856</c:v>
                </c:pt>
                <c:pt idx="1">
                  <c:v>50</c:v>
                </c:pt>
                <c:pt idx="2">
                  <c:v>2800</c:v>
                </c:pt>
                <c:pt idx="3">
                  <c:v>768</c:v>
                </c:pt>
                <c:pt idx="4">
                  <c:v>1450</c:v>
                </c:pt>
                <c:pt idx="5">
                  <c:v>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0E-49F0-841B-18616BC0574F}"/>
            </c:ext>
          </c:extLst>
        </c:ser>
        <c:ser>
          <c:idx val="1"/>
          <c:order val="1"/>
          <c:tx>
            <c:strRef>
              <c:f>Statystyki!$E$37</c:f>
              <c:strCache>
                <c:ptCount val="1"/>
                <c:pt idx="0">
                  <c:v>Rok 2027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pl-PL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Statystyki!$A$38:$A$43</c:f>
              <c:strCache>
                <c:ptCount val="6"/>
                <c:pt idx="0">
                  <c:v>MIESZKANIE</c:v>
                </c:pt>
                <c:pt idx="1">
                  <c:v>TRANSPORT</c:v>
                </c:pt>
                <c:pt idx="2">
                  <c:v>ŻYCIE I ZDROWIE</c:v>
                </c:pt>
                <c:pt idx="3">
                  <c:v>ROZWÓJ I EDUKACJA</c:v>
                </c:pt>
                <c:pt idx="4">
                  <c:v>ROZRYWKA I INNE</c:v>
                </c:pt>
                <c:pt idx="5">
                  <c:v>FINANSE I OSZCZĘDNOŚCI</c:v>
                </c:pt>
              </c:strCache>
            </c:strRef>
          </c:cat>
          <c:val>
            <c:numRef>
              <c:f>Statystyki!$E$38:$E$43</c:f>
              <c:numCache>
                <c:formatCode>#\ ##0.00" zł"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C0E-49F0-841B-18616BC057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2077202"/>
        <c:axId val="60072483"/>
      </c:barChart>
      <c:catAx>
        <c:axId val="2207720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l-PL"/>
          </a:p>
        </c:txPr>
        <c:crossAx val="60072483"/>
        <c:crosses val="autoZero"/>
        <c:auto val="1"/>
        <c:lblAlgn val="ctr"/>
        <c:lblOffset val="100"/>
        <c:noMultiLvlLbl val="0"/>
      </c:catAx>
      <c:valAx>
        <c:axId val="6007248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pl-PL" sz="1000" b="1" strike="noStrike" spc="-1">
                    <a:solidFill>
                      <a:srgbClr val="000000"/>
                    </a:solidFill>
                    <a:latin typeface="Calibri"/>
                  </a:rPr>
                  <a:t>zł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\ ##0.00&quot; zł&quot;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l-PL"/>
          </a:p>
        </c:txPr>
        <c:crossAx val="2207720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pl-PL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pl-PL" sz="1800" b="1" strike="noStrike" spc="-1">
                <a:solidFill>
                  <a:srgbClr val="000000"/>
                </a:solidFill>
                <a:latin typeface="Calibri"/>
              </a:rPr>
              <a:t>Miesięczna stopa oszczędności — 2026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Statystyki!$G$4</c:f>
              <c:strCache>
                <c:ptCount val="1"/>
                <c:pt idx="0">
                  <c:v>Stopa oszczędności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pl-PL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Statystyki!$A$5:$A$16</c:f>
              <c:strCache>
                <c:ptCount val="12"/>
                <c:pt idx="0">
                  <c:v>Styczeń</c:v>
                </c:pt>
                <c:pt idx="1">
                  <c:v>Luty</c:v>
                </c:pt>
                <c:pt idx="2">
                  <c:v>Marzec</c:v>
                </c:pt>
                <c:pt idx="3">
                  <c:v>Kwiecień</c:v>
                </c:pt>
                <c:pt idx="4">
                  <c:v>Maj</c:v>
                </c:pt>
                <c:pt idx="5">
                  <c:v>Czerwiec</c:v>
                </c:pt>
                <c:pt idx="6">
                  <c:v>Lipiec</c:v>
                </c:pt>
                <c:pt idx="7">
                  <c:v>Sierpień</c:v>
                </c:pt>
                <c:pt idx="8">
                  <c:v>Wrzesień</c:v>
                </c:pt>
                <c:pt idx="9">
                  <c:v>Październik</c:v>
                </c:pt>
                <c:pt idx="10">
                  <c:v>Listopad</c:v>
                </c:pt>
                <c:pt idx="11">
                  <c:v>Grudzień</c:v>
                </c:pt>
              </c:strCache>
            </c:strRef>
          </c:cat>
          <c:val>
            <c:numRef>
              <c:f>Statystyki!$G$5:$G$16</c:f>
              <c:numCache>
                <c:formatCode>0.0%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-0.32365247354171794</c:v>
                </c:pt>
                <c:pt idx="7">
                  <c:v>0.88997637529530882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ABD-4F7A-8C85-9821B1F72A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28727002"/>
        <c:axId val="76304181"/>
      </c:lineChart>
      <c:catAx>
        <c:axId val="2872700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l-PL"/>
          </a:p>
        </c:txPr>
        <c:crossAx val="76304181"/>
        <c:crosses val="autoZero"/>
        <c:auto val="1"/>
        <c:lblAlgn val="ctr"/>
        <c:lblOffset val="100"/>
        <c:noMultiLvlLbl val="0"/>
      </c:catAx>
      <c:valAx>
        <c:axId val="7630418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l-PL"/>
          </a:p>
        </c:txPr>
        <c:crossAx val="2872700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pl-PL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pl-PL" sz="1800" b="1" strike="noStrike" spc="-1">
                <a:solidFill>
                  <a:srgbClr val="000000"/>
                </a:solidFill>
                <a:latin typeface="Calibri"/>
              </a:rPr>
              <a:t>Budżet kroczący: plan, dostępne i wykonanie — 2026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Statystyki!$B$92</c:f>
              <c:strCache>
                <c:ptCount val="1"/>
                <c:pt idx="0">
                  <c:v>Plan miesiąca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pl-PL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Statystyki!$A$93:$A$104</c:f>
              <c:strCache>
                <c:ptCount val="12"/>
                <c:pt idx="0">
                  <c:v>Styczeń</c:v>
                </c:pt>
                <c:pt idx="1">
                  <c:v>Luty</c:v>
                </c:pt>
                <c:pt idx="2">
                  <c:v>Marzec</c:v>
                </c:pt>
                <c:pt idx="3">
                  <c:v>Kwiecień</c:v>
                </c:pt>
                <c:pt idx="4">
                  <c:v>Maj</c:v>
                </c:pt>
                <c:pt idx="5">
                  <c:v>Czerwiec</c:v>
                </c:pt>
                <c:pt idx="6">
                  <c:v>Lipiec</c:v>
                </c:pt>
                <c:pt idx="7">
                  <c:v>Sierpień</c:v>
                </c:pt>
                <c:pt idx="8">
                  <c:v>Wrzesień</c:v>
                </c:pt>
                <c:pt idx="9">
                  <c:v>Październik</c:v>
                </c:pt>
                <c:pt idx="10">
                  <c:v>Listopad</c:v>
                </c:pt>
                <c:pt idx="11">
                  <c:v>Grudzień</c:v>
                </c:pt>
              </c:strCache>
            </c:strRef>
          </c:cat>
          <c:val>
            <c:numRef>
              <c:f>Statystyki!$B$93:$B$104</c:f>
              <c:numCache>
                <c:formatCode>#\ ##0.00" zł"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9F-46DC-AE9A-9792A1DC958B}"/>
            </c:ext>
          </c:extLst>
        </c:ser>
        <c:ser>
          <c:idx val="1"/>
          <c:order val="1"/>
          <c:tx>
            <c:strRef>
              <c:f>Statystyki!$C$92</c:f>
              <c:strCache>
                <c:ptCount val="1"/>
                <c:pt idx="0">
                  <c:v>Dostępne (plan + przeniesienie)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pl-PL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Statystyki!$A$93:$A$104</c:f>
              <c:strCache>
                <c:ptCount val="12"/>
                <c:pt idx="0">
                  <c:v>Styczeń</c:v>
                </c:pt>
                <c:pt idx="1">
                  <c:v>Luty</c:v>
                </c:pt>
                <c:pt idx="2">
                  <c:v>Marzec</c:v>
                </c:pt>
                <c:pt idx="3">
                  <c:v>Kwiecień</c:v>
                </c:pt>
                <c:pt idx="4">
                  <c:v>Maj</c:v>
                </c:pt>
                <c:pt idx="5">
                  <c:v>Czerwiec</c:v>
                </c:pt>
                <c:pt idx="6">
                  <c:v>Lipiec</c:v>
                </c:pt>
                <c:pt idx="7">
                  <c:v>Sierpień</c:v>
                </c:pt>
                <c:pt idx="8">
                  <c:v>Wrzesień</c:v>
                </c:pt>
                <c:pt idx="9">
                  <c:v>Październik</c:v>
                </c:pt>
                <c:pt idx="10">
                  <c:v>Listopad</c:v>
                </c:pt>
                <c:pt idx="11">
                  <c:v>Grudzień</c:v>
                </c:pt>
              </c:strCache>
            </c:strRef>
          </c:cat>
          <c:val>
            <c:numRef>
              <c:f>Statystyki!$C$93:$C$104</c:f>
              <c:numCache>
                <c:formatCode>#\ ##0.00" zł"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79F-46DC-AE9A-9792A1DC958B}"/>
            </c:ext>
          </c:extLst>
        </c:ser>
        <c:ser>
          <c:idx val="2"/>
          <c:order val="2"/>
          <c:tx>
            <c:strRef>
              <c:f>Statystyki!$D$92</c:f>
              <c:strCache>
                <c:ptCount val="1"/>
                <c:pt idx="0">
                  <c:v>Wykonanie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pl-PL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Statystyki!$A$93:$A$104</c:f>
              <c:strCache>
                <c:ptCount val="12"/>
                <c:pt idx="0">
                  <c:v>Styczeń</c:v>
                </c:pt>
                <c:pt idx="1">
                  <c:v>Luty</c:v>
                </c:pt>
                <c:pt idx="2">
                  <c:v>Marzec</c:v>
                </c:pt>
                <c:pt idx="3">
                  <c:v>Kwiecień</c:v>
                </c:pt>
                <c:pt idx="4">
                  <c:v>Maj</c:v>
                </c:pt>
                <c:pt idx="5">
                  <c:v>Czerwiec</c:v>
                </c:pt>
                <c:pt idx="6">
                  <c:v>Lipiec</c:v>
                </c:pt>
                <c:pt idx="7">
                  <c:v>Sierpień</c:v>
                </c:pt>
                <c:pt idx="8">
                  <c:v>Wrzesień</c:v>
                </c:pt>
                <c:pt idx="9">
                  <c:v>Październik</c:v>
                </c:pt>
                <c:pt idx="10">
                  <c:v>Listopad</c:v>
                </c:pt>
                <c:pt idx="11">
                  <c:v>Grudzień</c:v>
                </c:pt>
              </c:strCache>
            </c:strRef>
          </c:cat>
          <c:val>
            <c:numRef>
              <c:f>Statystyki!$D$93:$D$104</c:f>
              <c:numCache>
                <c:formatCode>#\ ##0.00" zł"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79F-46DC-AE9A-9792A1DC95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7901317"/>
        <c:axId val="95091377"/>
      </c:barChart>
      <c:catAx>
        <c:axId val="3790131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l-PL"/>
          </a:p>
        </c:txPr>
        <c:crossAx val="95091377"/>
        <c:crosses val="autoZero"/>
        <c:auto val="1"/>
        <c:lblAlgn val="ctr"/>
        <c:lblOffset val="100"/>
        <c:noMultiLvlLbl val="0"/>
      </c:catAx>
      <c:valAx>
        <c:axId val="9509137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pl-PL" sz="1000" b="1" strike="noStrike" spc="-1">
                    <a:solidFill>
                      <a:srgbClr val="000000"/>
                    </a:solidFill>
                    <a:latin typeface="Calibri"/>
                  </a:rPr>
                  <a:t>zł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\ ##0.00&quot; zł&quot;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l-PL"/>
          </a:p>
        </c:txPr>
        <c:crossAx val="3790131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pl-PL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pl-PL" sz="1800" b="1" strike="noStrike" spc="-1">
                <a:solidFill>
                  <a:srgbClr val="000000"/>
                </a:solidFill>
                <a:latin typeface="Calibri"/>
              </a:rPr>
              <a:t>Struktura kosztów: stałe / zmienne / oszczędności — 2026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Statystyki!$B$60</c:f>
              <c:strCache>
                <c:ptCount val="1"/>
                <c:pt idx="0">
                  <c:v>Kwota roczna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4D79-47EF-901C-3A2B43D5071F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4D79-47EF-901C-3A2B43D5071F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4D79-47EF-901C-3A2B43D5071F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l-PL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D79-47EF-901C-3A2B43D5071F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l-PL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D79-47EF-901C-3A2B43D5071F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l-PL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D79-47EF-901C-3A2B43D5071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pl-PL"/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Statystyki!$A$61:$A$63</c:f>
              <c:strCache>
                <c:ptCount val="3"/>
                <c:pt idx="0">
                  <c:v>Stałe</c:v>
                </c:pt>
                <c:pt idx="1">
                  <c:v>Zmienne</c:v>
                </c:pt>
                <c:pt idx="2">
                  <c:v>Oszczędności / inwestycje</c:v>
                </c:pt>
              </c:strCache>
            </c:strRef>
          </c:cat>
          <c:val>
            <c:numRef>
              <c:f>Statystyki!$B$61:$B$63</c:f>
              <c:numCache>
                <c:formatCode>#\ ##0.00" zł"</c:formatCode>
                <c:ptCount val="3"/>
                <c:pt idx="0">
                  <c:v>1624</c:v>
                </c:pt>
                <c:pt idx="1">
                  <c:v>4300</c:v>
                </c:pt>
                <c:pt idx="2">
                  <c:v>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D79-47EF-901C-3A2B43D507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pl-PL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32</xdr:row>
      <xdr:rowOff>0</xdr:rowOff>
    </xdr:from>
    <xdr:to>
      <xdr:col>2</xdr:col>
      <xdr:colOff>1890360</xdr:colOff>
      <xdr:row>49</xdr:row>
      <xdr:rowOff>1080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32</xdr:row>
      <xdr:rowOff>0</xdr:rowOff>
    </xdr:from>
    <xdr:to>
      <xdr:col>12</xdr:col>
      <xdr:colOff>480960</xdr:colOff>
      <xdr:row>49</xdr:row>
      <xdr:rowOff>1080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52</xdr:row>
      <xdr:rowOff>0</xdr:rowOff>
    </xdr:from>
    <xdr:to>
      <xdr:col>2</xdr:col>
      <xdr:colOff>1890360</xdr:colOff>
      <xdr:row>69</xdr:row>
      <xdr:rowOff>1080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0</xdr:colOff>
      <xdr:row>52</xdr:row>
      <xdr:rowOff>0</xdr:rowOff>
    </xdr:from>
    <xdr:to>
      <xdr:col>12</xdr:col>
      <xdr:colOff>480960</xdr:colOff>
      <xdr:row>69</xdr:row>
      <xdr:rowOff>1080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0</xdr:colOff>
      <xdr:row>72</xdr:row>
      <xdr:rowOff>0</xdr:rowOff>
    </xdr:from>
    <xdr:to>
      <xdr:col>2</xdr:col>
      <xdr:colOff>1890360</xdr:colOff>
      <xdr:row>89</xdr:row>
      <xdr:rowOff>1080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7</xdr:col>
      <xdr:colOff>0</xdr:colOff>
      <xdr:row>72</xdr:row>
      <xdr:rowOff>0</xdr:rowOff>
    </xdr:from>
    <xdr:to>
      <xdr:col>12</xdr:col>
      <xdr:colOff>480960</xdr:colOff>
      <xdr:row>89</xdr:row>
      <xdr:rowOff>1080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0</xdr:col>
      <xdr:colOff>0</xdr:colOff>
      <xdr:row>92</xdr:row>
      <xdr:rowOff>0</xdr:rowOff>
    </xdr:from>
    <xdr:to>
      <xdr:col>2</xdr:col>
      <xdr:colOff>1890360</xdr:colOff>
      <xdr:row>109</xdr:row>
      <xdr:rowOff>1080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7</xdr:col>
      <xdr:colOff>0</xdr:colOff>
      <xdr:row>92</xdr:row>
      <xdr:rowOff>0</xdr:rowOff>
    </xdr:from>
    <xdr:to>
      <xdr:col>12</xdr:col>
      <xdr:colOff>480960</xdr:colOff>
      <xdr:row>109</xdr:row>
      <xdr:rowOff>1080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1"/>
  <sheetViews>
    <sheetView zoomScaleNormal="100" workbookViewId="0">
      <selection activeCell="B24" sqref="B24"/>
    </sheetView>
  </sheetViews>
  <sheetFormatPr defaultColWidth="8.7109375" defaultRowHeight="15" x14ac:dyDescent="0.25"/>
  <cols>
    <col min="1" max="4" width="30" customWidth="1"/>
    <col min="5" max="5" width="22" customWidth="1"/>
    <col min="6" max="6" width="20" customWidth="1"/>
    <col min="7" max="15" width="16" customWidth="1"/>
  </cols>
  <sheetData>
    <row r="1" spans="1:15" ht="24.75" customHeight="1" x14ac:dyDescent="0.25">
      <c r="A1" s="49" t="s">
        <v>0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</row>
    <row r="2" spans="1:15" ht="24.75" customHeight="1" x14ac:dyDescent="0.25">
      <c r="A2" s="49"/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</row>
    <row r="4" spans="1:15" ht="17.25" customHeight="1" x14ac:dyDescent="0.25">
      <c r="A4" s="1" t="s">
        <v>1</v>
      </c>
    </row>
    <row r="5" spans="1:15" x14ac:dyDescent="0.25">
      <c r="A5" s="2" t="s">
        <v>2</v>
      </c>
    </row>
    <row r="6" spans="1:15" x14ac:dyDescent="0.25">
      <c r="A6" s="2" t="s">
        <v>3</v>
      </c>
    </row>
    <row r="7" spans="1:15" x14ac:dyDescent="0.25">
      <c r="A7" s="2" t="s">
        <v>4</v>
      </c>
    </row>
    <row r="8" spans="1:15" x14ac:dyDescent="0.25">
      <c r="A8" s="2" t="s">
        <v>5</v>
      </c>
    </row>
    <row r="9" spans="1:15" x14ac:dyDescent="0.25">
      <c r="A9" s="2" t="s">
        <v>6</v>
      </c>
    </row>
    <row r="11" spans="1:15" ht="16.5" customHeight="1" x14ac:dyDescent="0.3">
      <c r="A11" s="50" t="s">
        <v>7</v>
      </c>
      <c r="B11" s="50"/>
      <c r="C11" s="50"/>
      <c r="D11" s="50"/>
      <c r="E11" s="50"/>
      <c r="F11" s="50"/>
    </row>
    <row r="12" spans="1:15" ht="16.5" customHeight="1" x14ac:dyDescent="0.25">
      <c r="A12" s="3" t="s">
        <v>8</v>
      </c>
      <c r="B12" s="4" t="s">
        <v>9</v>
      </c>
      <c r="C12" s="4" t="s">
        <v>10</v>
      </c>
      <c r="D12" s="4" t="s">
        <v>11</v>
      </c>
      <c r="E12" s="3" t="s">
        <v>12</v>
      </c>
      <c r="F12" s="3" t="s">
        <v>13</v>
      </c>
    </row>
    <row r="13" spans="1:15" ht="16.5" customHeight="1" x14ac:dyDescent="0.25">
      <c r="A13" s="5" t="s">
        <v>14</v>
      </c>
      <c r="B13" s="6">
        <f>Statystyki!B17</f>
        <v>7026</v>
      </c>
      <c r="C13" s="6">
        <f>Statystyki!C17</f>
        <v>5924</v>
      </c>
      <c r="D13" s="6">
        <f>Statystyki!D17</f>
        <v>8000</v>
      </c>
      <c r="E13" s="6">
        <f>Statystyki!E17</f>
        <v>-6898</v>
      </c>
      <c r="F13" s="7">
        <f>Statystyki!G17</f>
        <v>0.15684600056931397</v>
      </c>
    </row>
    <row r="14" spans="1:15" x14ac:dyDescent="0.25">
      <c r="A14" s="1" t="s">
        <v>15</v>
      </c>
      <c r="B14" s="6">
        <f>Statystyki!B34</f>
        <v>0</v>
      </c>
      <c r="C14" s="6" t="e">
        <f>Statystyki!C34</f>
        <v>#REF!</v>
      </c>
      <c r="D14" s="6">
        <f>Statystyki!D34</f>
        <v>0</v>
      </c>
      <c r="E14" s="6" t="e">
        <f>Statystyki!E34</f>
        <v>#REF!</v>
      </c>
      <c r="F14" s="7">
        <f>Statystyki!G34</f>
        <v>0</v>
      </c>
    </row>
    <row r="15" spans="1:15" x14ac:dyDescent="0.25">
      <c r="A15" s="8" t="s">
        <v>16</v>
      </c>
      <c r="B15" s="9">
        <f>B13+B14</f>
        <v>7026</v>
      </c>
      <c r="C15" s="9" t="e">
        <f>C13+C14</f>
        <v>#REF!</v>
      </c>
      <c r="D15" s="9">
        <f>D13+D14</f>
        <v>8000</v>
      </c>
      <c r="E15" s="9" t="e">
        <f>E13+E14</f>
        <v>#REF!</v>
      </c>
      <c r="F15" s="10">
        <f>IFERROR((B15-C15)/B15,0)</f>
        <v>0</v>
      </c>
    </row>
    <row r="17" spans="1:6" ht="16.5" x14ac:dyDescent="0.3">
      <c r="A17" s="50" t="s">
        <v>17</v>
      </c>
      <c r="B17" s="50"/>
      <c r="C17" s="50"/>
      <c r="D17" s="50"/>
      <c r="E17" s="50"/>
      <c r="F17" s="50"/>
    </row>
    <row r="18" spans="1:6" x14ac:dyDescent="0.25">
      <c r="A18" s="11" t="s">
        <v>18</v>
      </c>
      <c r="B18" s="12">
        <f>Statystyki!B67</f>
        <v>585.5</v>
      </c>
    </row>
    <row r="19" spans="1:6" x14ac:dyDescent="0.25">
      <c r="A19" s="11" t="s">
        <v>19</v>
      </c>
      <c r="B19" s="12">
        <f>Statystyki!B68</f>
        <v>493.66666666666669</v>
      </c>
    </row>
    <row r="20" spans="1:6" x14ac:dyDescent="0.25">
      <c r="A20" s="11" t="s">
        <v>20</v>
      </c>
      <c r="B20" s="12">
        <f>Statystyki!B79</f>
        <v>16.230136986301371</v>
      </c>
    </row>
    <row r="21" spans="1:6" x14ac:dyDescent="0.25">
      <c r="A21" s="11" t="s">
        <v>21</v>
      </c>
      <c r="B21" s="13" t="str">
        <f>Statystyki!B80</f>
        <v>FINANSE I OSZCZĘDNOŚCI</v>
      </c>
    </row>
    <row r="22" spans="1:6" x14ac:dyDescent="0.25">
      <c r="A22" s="11" t="s">
        <v>22</v>
      </c>
      <c r="B22" s="14">
        <f>Statystyki!B81</f>
        <v>0.57454754380925022</v>
      </c>
    </row>
    <row r="23" spans="1:6" x14ac:dyDescent="0.25">
      <c r="A23" s="11" t="s">
        <v>23</v>
      </c>
      <c r="B23" s="14">
        <f>Statystyki!B75</f>
        <v>0.15684600056931397</v>
      </c>
    </row>
    <row r="24" spans="1:6" x14ac:dyDescent="0.25">
      <c r="A24" s="11" t="s">
        <v>24</v>
      </c>
      <c r="B24" s="14">
        <f>Statystyki!B77</f>
        <v>0</v>
      </c>
    </row>
    <row r="25" spans="1:6" x14ac:dyDescent="0.25">
      <c r="A25" s="11" t="s">
        <v>25</v>
      </c>
      <c r="B25" s="12">
        <f>Statystyki!B61</f>
        <v>1624</v>
      </c>
    </row>
    <row r="26" spans="1:6" x14ac:dyDescent="0.25">
      <c r="A26" s="11" t="s">
        <v>26</v>
      </c>
      <c r="B26" s="12">
        <f>Statystyki!B62</f>
        <v>4300</v>
      </c>
    </row>
    <row r="27" spans="1:6" x14ac:dyDescent="0.25">
      <c r="A27" s="11" t="s">
        <v>27</v>
      </c>
      <c r="B27" s="12">
        <f>Statystyki!B63</f>
        <v>8000</v>
      </c>
    </row>
    <row r="28" spans="1:6" x14ac:dyDescent="0.25">
      <c r="A28" s="11" t="s">
        <v>28</v>
      </c>
      <c r="B28" s="15">
        <f>Statystyki!B89</f>
        <v>34</v>
      </c>
    </row>
    <row r="29" spans="1:6" x14ac:dyDescent="0.25">
      <c r="A29" s="11" t="s">
        <v>29</v>
      </c>
      <c r="B29" s="12" t="e">
        <f>Statystyki!E104</f>
        <v>#REF!</v>
      </c>
    </row>
    <row r="31" spans="1:6" ht="16.5" x14ac:dyDescent="0.3">
      <c r="A31" s="50" t="s">
        <v>30</v>
      </c>
      <c r="B31" s="50"/>
      <c r="C31" s="50"/>
      <c r="D31" s="50"/>
      <c r="E31" s="50"/>
      <c r="F31" s="50"/>
    </row>
  </sheetData>
  <mergeCells count="4">
    <mergeCell ref="A1:O2"/>
    <mergeCell ref="A11:F11"/>
    <mergeCell ref="A17:F17"/>
    <mergeCell ref="A31:F3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155"/>
  <sheetViews>
    <sheetView topLeftCell="A79" zoomScaleNormal="100" workbookViewId="0">
      <selection activeCell="I119" sqref="I119"/>
    </sheetView>
  </sheetViews>
  <sheetFormatPr defaultColWidth="8.7109375" defaultRowHeight="15" x14ac:dyDescent="0.25"/>
  <cols>
    <col min="1" max="1" width="26" customWidth="1"/>
    <col min="2" max="2" width="34" customWidth="1"/>
    <col min="3" max="5" width="18" customWidth="1"/>
    <col min="6" max="6" width="20" customWidth="1"/>
    <col min="7" max="8" width="18" customWidth="1"/>
    <col min="18" max="18" width="30" customWidth="1"/>
    <col min="19" max="21" width="14" customWidth="1"/>
  </cols>
  <sheetData>
    <row r="1" spans="1:22" ht="31.5" customHeight="1" x14ac:dyDescent="0.25">
      <c r="A1" s="49" t="s">
        <v>32</v>
      </c>
      <c r="B1" s="49"/>
      <c r="C1" s="49"/>
      <c r="D1" s="49"/>
      <c r="E1" s="49"/>
      <c r="F1" s="49"/>
      <c r="G1" s="49"/>
      <c r="H1" s="49"/>
    </row>
    <row r="2" spans="1:22" x14ac:dyDescent="0.25">
      <c r="R2" s="17" t="s">
        <v>33</v>
      </c>
    </row>
    <row r="3" spans="1:22" ht="19.5" customHeight="1" x14ac:dyDescent="0.25">
      <c r="A3" s="51" t="s">
        <v>34</v>
      </c>
      <c r="B3" s="51"/>
      <c r="C3" s="51"/>
      <c r="D3" s="51"/>
      <c r="E3" s="51"/>
      <c r="F3" s="51"/>
      <c r="G3" s="51"/>
      <c r="H3" s="51"/>
    </row>
    <row r="4" spans="1:22" ht="28.5" x14ac:dyDescent="0.25">
      <c r="A4" s="3" t="s">
        <v>35</v>
      </c>
      <c r="B4" s="3" t="s">
        <v>36</v>
      </c>
      <c r="C4" s="3" t="s">
        <v>10</v>
      </c>
      <c r="D4" s="3" t="s">
        <v>11</v>
      </c>
      <c r="E4" s="3" t="s">
        <v>37</v>
      </c>
      <c r="F4" s="3" t="s">
        <v>38</v>
      </c>
      <c r="G4" s="3" t="s">
        <v>13</v>
      </c>
      <c r="H4" s="3" t="s">
        <v>39</v>
      </c>
      <c r="R4" s="17" t="str">
        <f>'Budżet 2026'!B14</f>
        <v>Czynsz / Rata kredytu</v>
      </c>
      <c r="S4" s="18">
        <f>'Budżet 2026'!O14</f>
        <v>0</v>
      </c>
      <c r="T4" s="17">
        <f t="shared" ref="T4:T50" si="0">S4+ROW()/1000000</f>
        <v>3.9999999999999998E-6</v>
      </c>
      <c r="U4" s="19" t="s">
        <v>40</v>
      </c>
      <c r="V4" s="17" t="s">
        <v>41</v>
      </c>
    </row>
    <row r="5" spans="1:22" x14ac:dyDescent="0.25">
      <c r="A5" s="2" t="s">
        <v>42</v>
      </c>
      <c r="B5" s="20">
        <f>'Budżet 2026'!C11</f>
        <v>0</v>
      </c>
      <c r="C5" s="20">
        <f>'Budżet 2026'!C26+'Budżet 2026'!C38+'Budżet 2026'!C49+'Budżet 2026'!C57+'Budżet 2026'!C68</f>
        <v>0</v>
      </c>
      <c r="D5" s="20">
        <f>'Budżet 2026'!C76</f>
        <v>0</v>
      </c>
      <c r="E5" s="21">
        <f t="shared" ref="E5:E16" si="1">B5-C5-D5</f>
        <v>0</v>
      </c>
      <c r="F5" s="21">
        <f>E5</f>
        <v>0</v>
      </c>
      <c r="G5" s="7">
        <f t="shared" ref="G5:G17" si="2">IFERROR((B5-C5)/B5,0)</f>
        <v>0</v>
      </c>
      <c r="H5" s="6" t="e">
        <f>D5+E5-#REF!</f>
        <v>#REF!</v>
      </c>
      <c r="R5" s="17" t="str">
        <f>'Budżet 2026'!B15</f>
        <v>Czynsz administracyjny</v>
      </c>
      <c r="S5" s="18">
        <f>'Budżet 2026'!O15</f>
        <v>0</v>
      </c>
      <c r="T5" s="17">
        <f t="shared" si="0"/>
        <v>5.0000000000000004E-6</v>
      </c>
      <c r="U5" s="19" t="s">
        <v>40</v>
      </c>
      <c r="V5" s="17" t="s">
        <v>41</v>
      </c>
    </row>
    <row r="6" spans="1:22" x14ac:dyDescent="0.25">
      <c r="A6" s="2" t="s">
        <v>43</v>
      </c>
      <c r="B6" s="20">
        <f>'Budżet 2026'!D11</f>
        <v>0</v>
      </c>
      <c r="C6" s="20">
        <f>'Budżet 2026'!D26+'Budżet 2026'!D38+'Budżet 2026'!D49+'Budżet 2026'!D57+'Budżet 2026'!D68</f>
        <v>0</v>
      </c>
      <c r="D6" s="20">
        <f>'Budżet 2026'!D76</f>
        <v>0</v>
      </c>
      <c r="E6" s="21">
        <f t="shared" si="1"/>
        <v>0</v>
      </c>
      <c r="F6" s="21">
        <f t="shared" ref="F6:F16" si="3">F5+E6</f>
        <v>0</v>
      </c>
      <c r="G6" s="7">
        <f t="shared" si="2"/>
        <v>0</v>
      </c>
      <c r="H6" s="6" t="e">
        <f>D6+E6-#REF!</f>
        <v>#REF!</v>
      </c>
      <c r="R6" s="17" t="str">
        <f>'Budżet 2026'!B16</f>
        <v>Prąd</v>
      </c>
      <c r="S6" s="18">
        <f>'Budżet 2026'!O16</f>
        <v>271</v>
      </c>
      <c r="T6" s="17">
        <f t="shared" si="0"/>
        <v>271.00000599999998</v>
      </c>
      <c r="U6" s="19" t="s">
        <v>40</v>
      </c>
      <c r="V6" s="17" t="s">
        <v>41</v>
      </c>
    </row>
    <row r="7" spans="1:22" x14ac:dyDescent="0.25">
      <c r="A7" s="2" t="s">
        <v>44</v>
      </c>
      <c r="B7" s="20">
        <f>'Budżet 2026'!E11</f>
        <v>0</v>
      </c>
      <c r="C7" s="20">
        <f>'Budżet 2026'!E26+'Budżet 2026'!E38+'Budżet 2026'!E49+'Budżet 2026'!E57+'Budżet 2026'!E68</f>
        <v>0</v>
      </c>
      <c r="D7" s="20">
        <f>'Budżet 2026'!E76</f>
        <v>0</v>
      </c>
      <c r="E7" s="21">
        <f t="shared" si="1"/>
        <v>0</v>
      </c>
      <c r="F7" s="21">
        <f t="shared" si="3"/>
        <v>0</v>
      </c>
      <c r="G7" s="7">
        <f t="shared" si="2"/>
        <v>0</v>
      </c>
      <c r="H7" s="6" t="e">
        <f>D7+E7-#REF!</f>
        <v>#REF!</v>
      </c>
      <c r="R7" s="17" t="str">
        <f>'Budżet 2026'!B17</f>
        <v>Woda i ścieki</v>
      </c>
      <c r="S7" s="18">
        <f>'Budżet 2026'!O17</f>
        <v>0</v>
      </c>
      <c r="T7" s="17">
        <f t="shared" si="0"/>
        <v>6.9999999999999999E-6</v>
      </c>
      <c r="U7" s="19" t="s">
        <v>40</v>
      </c>
      <c r="V7" s="17" t="s">
        <v>41</v>
      </c>
    </row>
    <row r="8" spans="1:22" x14ac:dyDescent="0.25">
      <c r="A8" s="2" t="s">
        <v>45</v>
      </c>
      <c r="B8" s="20">
        <f>'Budżet 2026'!F11</f>
        <v>0</v>
      </c>
      <c r="C8" s="20">
        <f>'Budżet 2026'!F26+'Budżet 2026'!F38+'Budżet 2026'!F49+'Budżet 2026'!F57+'Budżet 2026'!F68</f>
        <v>0</v>
      </c>
      <c r="D8" s="20">
        <f>'Budżet 2026'!F76</f>
        <v>0</v>
      </c>
      <c r="E8" s="21">
        <f t="shared" si="1"/>
        <v>0</v>
      </c>
      <c r="F8" s="21">
        <f t="shared" si="3"/>
        <v>0</v>
      </c>
      <c r="G8" s="7">
        <f t="shared" si="2"/>
        <v>0</v>
      </c>
      <c r="H8" s="6" t="e">
        <f>D8+E8-#REF!</f>
        <v>#REF!</v>
      </c>
      <c r="R8" s="17" t="str">
        <f>'Budżet 2026'!B18</f>
        <v>Gaz</v>
      </c>
      <c r="S8" s="18">
        <f>'Budżet 2026'!O18</f>
        <v>200</v>
      </c>
      <c r="T8" s="17">
        <f t="shared" si="0"/>
        <v>200.00000800000001</v>
      </c>
      <c r="U8" s="19" t="s">
        <v>40</v>
      </c>
      <c r="V8" s="17" t="s">
        <v>41</v>
      </c>
    </row>
    <row r="9" spans="1:22" x14ac:dyDescent="0.25">
      <c r="A9" s="2" t="s">
        <v>46</v>
      </c>
      <c r="B9" s="20">
        <f>'Budżet 2026'!G11</f>
        <v>0</v>
      </c>
      <c r="C9" s="20">
        <f>'Budżet 2026'!G26+'Budżet 2026'!G38+'Budżet 2026'!G49+'Budżet 2026'!G57+'Budżet 2026'!G68</f>
        <v>0</v>
      </c>
      <c r="D9" s="20">
        <f>'Budżet 2026'!G76</f>
        <v>0</v>
      </c>
      <c r="E9" s="21">
        <f t="shared" si="1"/>
        <v>0</v>
      </c>
      <c r="F9" s="21">
        <f t="shared" si="3"/>
        <v>0</v>
      </c>
      <c r="G9" s="7">
        <f t="shared" si="2"/>
        <v>0</v>
      </c>
      <c r="H9" s="6" t="e">
        <f>D9+E9-#REF!</f>
        <v>#REF!</v>
      </c>
      <c r="R9" s="17" t="str">
        <f>'Budżet 2026'!B19</f>
        <v>Ogrzewanie</v>
      </c>
      <c r="S9" s="18">
        <f>'Budżet 2026'!O19</f>
        <v>0</v>
      </c>
      <c r="T9" s="17">
        <f t="shared" si="0"/>
        <v>9.0000000000000002E-6</v>
      </c>
      <c r="U9" s="19" t="s">
        <v>40</v>
      </c>
      <c r="V9" s="17" t="s">
        <v>41</v>
      </c>
    </row>
    <row r="10" spans="1:22" x14ac:dyDescent="0.25">
      <c r="A10" s="2" t="s">
        <v>47</v>
      </c>
      <c r="B10" s="20">
        <f>'Budżet 2026'!H11</f>
        <v>0</v>
      </c>
      <c r="C10" s="20">
        <f>'Budżet 2026'!H26+'Budżet 2026'!H38+'Budżet 2026'!H49+'Budżet 2026'!H57+'Budżet 2026'!H68</f>
        <v>0</v>
      </c>
      <c r="D10" s="20">
        <f>'Budżet 2026'!H76</f>
        <v>0</v>
      </c>
      <c r="E10" s="21">
        <f t="shared" si="1"/>
        <v>0</v>
      </c>
      <c r="F10" s="21">
        <f t="shared" si="3"/>
        <v>0</v>
      </c>
      <c r="G10" s="7">
        <f t="shared" si="2"/>
        <v>0</v>
      </c>
      <c r="H10" s="6" t="e">
        <f>D10+E10-#REF!</f>
        <v>#REF!</v>
      </c>
      <c r="R10" s="17" t="str">
        <f>'Budżet 2026'!B20</f>
        <v>Wywóz nieczystości</v>
      </c>
      <c r="S10" s="18">
        <f>'Budżet 2026'!O20</f>
        <v>0</v>
      </c>
      <c r="T10" s="17">
        <f t="shared" si="0"/>
        <v>1.0000000000000001E-5</v>
      </c>
      <c r="U10" s="19" t="s">
        <v>40</v>
      </c>
      <c r="V10" s="17" t="s">
        <v>41</v>
      </c>
    </row>
    <row r="11" spans="1:22" x14ac:dyDescent="0.25">
      <c r="A11" s="2" t="s">
        <v>48</v>
      </c>
      <c r="B11" s="20">
        <f>'Budżet 2026'!I11</f>
        <v>4063</v>
      </c>
      <c r="C11" s="20">
        <f>'Budżet 2026'!I26+'Budżet 2026'!I38+'Budżet 2026'!I49+'Budżet 2026'!I57+'Budżet 2026'!I68</f>
        <v>5378</v>
      </c>
      <c r="D11" s="20">
        <f>'Budżet 2026'!I76</f>
        <v>8000</v>
      </c>
      <c r="E11" s="21">
        <f t="shared" si="1"/>
        <v>-9315</v>
      </c>
      <c r="F11" s="21">
        <f t="shared" si="3"/>
        <v>-9315</v>
      </c>
      <c r="G11" s="7">
        <f t="shared" si="2"/>
        <v>-0.32365247354171794</v>
      </c>
      <c r="H11" s="6" t="e">
        <f>D11+E11-#REF!</f>
        <v>#REF!</v>
      </c>
      <c r="R11" s="17" t="str">
        <f>'Budżet 2026'!B21</f>
        <v>Internet / Wi-Fi</v>
      </c>
      <c r="S11" s="18">
        <f>'Budżet 2026'!O21</f>
        <v>385</v>
      </c>
      <c r="T11" s="17">
        <f t="shared" si="0"/>
        <v>385.00001099999997</v>
      </c>
      <c r="U11" s="19" t="s">
        <v>40</v>
      </c>
      <c r="V11" s="17" t="s">
        <v>41</v>
      </c>
    </row>
    <row r="12" spans="1:22" x14ac:dyDescent="0.25">
      <c r="A12" s="2" t="s">
        <v>49</v>
      </c>
      <c r="B12" s="20">
        <f>'Budżet 2026'!J11</f>
        <v>2963</v>
      </c>
      <c r="C12" s="20">
        <f>'Budżet 2026'!J26+'Budżet 2026'!J38+'Budżet 2026'!J49+'Budżet 2026'!J57+'Budżet 2026'!J68</f>
        <v>326</v>
      </c>
      <c r="D12" s="20">
        <f>'Budżet 2026'!J76</f>
        <v>0</v>
      </c>
      <c r="E12" s="21">
        <f t="shared" si="1"/>
        <v>2637</v>
      </c>
      <c r="F12" s="21">
        <f t="shared" si="3"/>
        <v>-6678</v>
      </c>
      <c r="G12" s="7">
        <f t="shared" si="2"/>
        <v>0.88997637529530882</v>
      </c>
      <c r="H12" s="6" t="e">
        <f>D12+E12-#REF!</f>
        <v>#REF!</v>
      </c>
      <c r="R12" s="17" t="str">
        <f>'Budżet 2026'!B22</f>
        <v>Telewizja</v>
      </c>
      <c r="S12" s="18">
        <f>'Budżet 2026'!O22</f>
        <v>0</v>
      </c>
      <c r="T12" s="17">
        <f t="shared" si="0"/>
        <v>1.2E-5</v>
      </c>
      <c r="U12" s="19" t="s">
        <v>40</v>
      </c>
      <c r="V12" s="17" t="s">
        <v>41</v>
      </c>
    </row>
    <row r="13" spans="1:22" x14ac:dyDescent="0.25">
      <c r="A13" s="2" t="s">
        <v>50</v>
      </c>
      <c r="B13" s="20">
        <f>'Budżet 2026'!K11</f>
        <v>0</v>
      </c>
      <c r="C13" s="20">
        <f>'Budżet 2026'!K26+'Budżet 2026'!K38+'Budżet 2026'!K49+'Budżet 2026'!K57+'Budżet 2026'!K68</f>
        <v>55</v>
      </c>
      <c r="D13" s="20">
        <f>'Budżet 2026'!K76</f>
        <v>0</v>
      </c>
      <c r="E13" s="21">
        <f t="shared" si="1"/>
        <v>-55</v>
      </c>
      <c r="F13" s="21">
        <f t="shared" si="3"/>
        <v>-6733</v>
      </c>
      <c r="G13" s="7">
        <f t="shared" si="2"/>
        <v>0</v>
      </c>
      <c r="H13" s="6" t="e">
        <f>D13+E13-#REF!</f>
        <v>#REF!</v>
      </c>
      <c r="R13" s="17" t="str">
        <f>'Budżet 2026'!B23</f>
        <v>Ubezpieczenie nieruchomości</v>
      </c>
      <c r="S13" s="18">
        <f>'Budżet 2026'!O23</f>
        <v>0</v>
      </c>
      <c r="T13" s="17">
        <f t="shared" si="0"/>
        <v>1.2999999999999999E-5</v>
      </c>
      <c r="U13" s="19" t="s">
        <v>40</v>
      </c>
      <c r="V13" s="17" t="s">
        <v>41</v>
      </c>
    </row>
    <row r="14" spans="1:22" x14ac:dyDescent="0.25">
      <c r="A14" s="2" t="s">
        <v>51</v>
      </c>
      <c r="B14" s="20">
        <f>'Budżet 2026'!L11</f>
        <v>0</v>
      </c>
      <c r="C14" s="20">
        <f>'Budżet 2026'!L26+'Budżet 2026'!L38+'Budżet 2026'!L49+'Budżet 2026'!L57+'Budżet 2026'!L68</f>
        <v>55</v>
      </c>
      <c r="D14" s="20">
        <f>'Budżet 2026'!L76</f>
        <v>0</v>
      </c>
      <c r="E14" s="21">
        <f t="shared" si="1"/>
        <v>-55</v>
      </c>
      <c r="F14" s="21">
        <f t="shared" si="3"/>
        <v>-6788</v>
      </c>
      <c r="G14" s="7">
        <f t="shared" si="2"/>
        <v>0</v>
      </c>
      <c r="H14" s="6" t="e">
        <f>D14+E14-#REF!</f>
        <v>#REF!</v>
      </c>
      <c r="R14" s="17" t="str">
        <f>'Budżet 2026'!B24</f>
        <v>Serwis/Naprawy domowe</v>
      </c>
      <c r="S14" s="18">
        <f>'Budżet 2026'!O24</f>
        <v>0</v>
      </c>
      <c r="T14" s="17">
        <f t="shared" si="0"/>
        <v>1.4E-5</v>
      </c>
      <c r="U14" s="19" t="s">
        <v>52</v>
      </c>
      <c r="V14" s="17" t="s">
        <v>41</v>
      </c>
    </row>
    <row r="15" spans="1:22" x14ac:dyDescent="0.25">
      <c r="A15" s="2" t="s">
        <v>53</v>
      </c>
      <c r="B15" s="20">
        <f>'Budżet 2026'!M11</f>
        <v>0</v>
      </c>
      <c r="C15" s="20">
        <f>'Budżet 2026'!M26+'Budżet 2026'!M38+'Budżet 2026'!M49+'Budżet 2026'!M57+'Budżet 2026'!M68</f>
        <v>55</v>
      </c>
      <c r="D15" s="20">
        <f>'Budżet 2026'!M76</f>
        <v>0</v>
      </c>
      <c r="E15" s="21">
        <f t="shared" si="1"/>
        <v>-55</v>
      </c>
      <c r="F15" s="21">
        <f t="shared" si="3"/>
        <v>-6843</v>
      </c>
      <c r="G15" s="7">
        <f t="shared" si="2"/>
        <v>0</v>
      </c>
      <c r="H15" s="6" t="e">
        <f>D15+E15-#REF!</f>
        <v>#REF!</v>
      </c>
      <c r="R15" s="17" t="str">
        <f>'Budżet 2026'!B25</f>
        <v>Środki czystości/Chemia</v>
      </c>
      <c r="S15" s="18">
        <f>'Budżet 2026'!O25</f>
        <v>0</v>
      </c>
      <c r="T15" s="17">
        <f t="shared" si="0"/>
        <v>1.5E-5</v>
      </c>
      <c r="U15" s="19" t="s">
        <v>52</v>
      </c>
      <c r="V15" s="17" t="s">
        <v>41</v>
      </c>
    </row>
    <row r="16" spans="1:22" x14ac:dyDescent="0.25">
      <c r="A16" s="2" t="s">
        <v>54</v>
      </c>
      <c r="B16" s="20">
        <f>'Budżet 2026'!N11</f>
        <v>0</v>
      </c>
      <c r="C16" s="20">
        <f>'Budżet 2026'!N26+'Budżet 2026'!N38+'Budżet 2026'!N49+'Budżet 2026'!N57+'Budżet 2026'!N68</f>
        <v>55</v>
      </c>
      <c r="D16" s="20">
        <f>'Budżet 2026'!N76</f>
        <v>0</v>
      </c>
      <c r="E16" s="21">
        <f t="shared" si="1"/>
        <v>-55</v>
      </c>
      <c r="F16" s="21">
        <f t="shared" si="3"/>
        <v>-6898</v>
      </c>
      <c r="G16" s="7">
        <f t="shared" si="2"/>
        <v>0</v>
      </c>
      <c r="H16" s="6" t="e">
        <f>D16+E16-#REF!</f>
        <v>#REF!</v>
      </c>
      <c r="R16" s="17" t="str">
        <f>'Budżet 2026'!B29</f>
        <v>Paliwo</v>
      </c>
      <c r="S16" s="18">
        <f>'Budżet 2026'!O29</f>
        <v>0</v>
      </c>
      <c r="T16" s="17">
        <f t="shared" si="0"/>
        <v>1.5999999999999999E-5</v>
      </c>
      <c r="U16" s="19" t="s">
        <v>52</v>
      </c>
      <c r="V16" s="17" t="s">
        <v>55</v>
      </c>
    </row>
    <row r="17" spans="1:22" x14ac:dyDescent="0.25">
      <c r="A17" s="8" t="s">
        <v>56</v>
      </c>
      <c r="B17" s="9">
        <f>SUM(B5:B16)</f>
        <v>7026</v>
      </c>
      <c r="C17" s="9">
        <f>SUM(C5:C16)</f>
        <v>5924</v>
      </c>
      <c r="D17" s="9">
        <f>SUM(D5:D16)</f>
        <v>8000</v>
      </c>
      <c r="E17" s="9">
        <f>SUM(E5:E16)</f>
        <v>-6898</v>
      </c>
      <c r="F17" s="9">
        <f>F16</f>
        <v>-6898</v>
      </c>
      <c r="G17" s="10">
        <f t="shared" si="2"/>
        <v>0.15684600056931397</v>
      </c>
      <c r="H17" s="9" t="e">
        <f>SUM(H5:H16)</f>
        <v>#REF!</v>
      </c>
      <c r="R17" s="17" t="str">
        <f>'Budżet 2026'!B30</f>
        <v>Rata kredytu/leasingu auta</v>
      </c>
      <c r="S17" s="18">
        <f>'Budżet 2026'!O30</f>
        <v>0</v>
      </c>
      <c r="T17" s="17">
        <f t="shared" si="0"/>
        <v>1.7E-5</v>
      </c>
      <c r="U17" s="19" t="s">
        <v>40</v>
      </c>
      <c r="V17" s="17" t="s">
        <v>55</v>
      </c>
    </row>
    <row r="18" spans="1:22" x14ac:dyDescent="0.25">
      <c r="R18" s="17" t="str">
        <f>'Budżet 2026'!B31</f>
        <v>Ubezpieczenie (OC/AC)</v>
      </c>
      <c r="S18" s="18">
        <f>'Budżet 2026'!O31</f>
        <v>0</v>
      </c>
      <c r="T18" s="17">
        <f t="shared" si="0"/>
        <v>1.8E-5</v>
      </c>
      <c r="U18" s="19" t="s">
        <v>40</v>
      </c>
      <c r="V18" s="17" t="s">
        <v>55</v>
      </c>
    </row>
    <row r="19" spans="1:22" x14ac:dyDescent="0.25">
      <c r="R19" s="17" t="str">
        <f>'Budżet 2026'!B32</f>
        <v>Przegląd techniczny / Serwis</v>
      </c>
      <c r="S19" s="18">
        <f>'Budżet 2026'!O32</f>
        <v>0</v>
      </c>
      <c r="T19" s="17">
        <f t="shared" si="0"/>
        <v>1.9000000000000001E-5</v>
      </c>
      <c r="U19" s="19" t="s">
        <v>52</v>
      </c>
      <c r="V19" s="17" t="s">
        <v>55</v>
      </c>
    </row>
    <row r="20" spans="1:22" ht="19.5" customHeight="1" x14ac:dyDescent="0.25">
      <c r="A20" s="51" t="s">
        <v>57</v>
      </c>
      <c r="B20" s="51"/>
      <c r="C20" s="51"/>
      <c r="D20" s="51"/>
      <c r="E20" s="51"/>
      <c r="F20" s="51"/>
      <c r="G20" s="51"/>
      <c r="H20" s="51"/>
      <c r="R20" s="17" t="str">
        <f>'Budżet 2026'!B33</f>
        <v>Opony (wymiana/serwis)</v>
      </c>
      <c r="S20" s="18">
        <f>'Budżet 2026'!O33</f>
        <v>0</v>
      </c>
      <c r="T20" s="17">
        <f t="shared" si="0"/>
        <v>2.0000000000000002E-5</v>
      </c>
      <c r="U20" s="19" t="s">
        <v>52</v>
      </c>
      <c r="V20" s="17" t="s">
        <v>55</v>
      </c>
    </row>
    <row r="21" spans="1:22" ht="28.5" x14ac:dyDescent="0.25">
      <c r="A21" s="3" t="s">
        <v>35</v>
      </c>
      <c r="B21" s="3" t="s">
        <v>36</v>
      </c>
      <c r="C21" s="3" t="s">
        <v>10</v>
      </c>
      <c r="D21" s="3" t="s">
        <v>11</v>
      </c>
      <c r="E21" s="3" t="s">
        <v>37</v>
      </c>
      <c r="F21" s="3" t="s">
        <v>38</v>
      </c>
      <c r="G21" s="3" t="s">
        <v>13</v>
      </c>
      <c r="H21" s="3" t="s">
        <v>39</v>
      </c>
      <c r="R21" s="17" t="str">
        <f>'Budżet 2026'!B34</f>
        <v>Bilety komunikacji miejskiej / PKP</v>
      </c>
      <c r="S21" s="18">
        <f>'Budżet 2026'!O34</f>
        <v>50</v>
      </c>
      <c r="T21" s="17">
        <f t="shared" si="0"/>
        <v>50.000020999999997</v>
      </c>
      <c r="U21" s="19" t="s">
        <v>52</v>
      </c>
      <c r="V21" s="17" t="s">
        <v>55</v>
      </c>
    </row>
    <row r="22" spans="1:22" x14ac:dyDescent="0.25">
      <c r="A22" s="2" t="s">
        <v>42</v>
      </c>
      <c r="B22" s="20">
        <f>'Budżet 2027'!C11</f>
        <v>0</v>
      </c>
      <c r="C22" s="20" t="e">
        <f>'Budżet 2027'!C26+'Budżet 2027'!C38+'Budżet 2027'!C49+'Budżet 2027'!C57+'Budżet 2027'!C68</f>
        <v>#REF!</v>
      </c>
      <c r="D22" s="20">
        <f>'Budżet 2027'!C76</f>
        <v>0</v>
      </c>
      <c r="E22" s="21" t="e">
        <f t="shared" ref="E22:E33" si="4">B22-C22-D22</f>
        <v>#REF!</v>
      </c>
      <c r="F22" s="21" t="e">
        <f>E22</f>
        <v>#REF!</v>
      </c>
      <c r="G22" s="7">
        <f t="shared" ref="G22:G34" si="5">IFERROR((B22-C22)/B22,0)</f>
        <v>0</v>
      </c>
      <c r="H22" s="6" t="e">
        <f>D22+E22-#REF!</f>
        <v>#REF!</v>
      </c>
      <c r="R22" s="17" t="str">
        <f>'Budżet 2026'!B35</f>
        <v>Taxi / Uber / Bolt</v>
      </c>
      <c r="S22" s="18">
        <f>'Budżet 2026'!O35</f>
        <v>0</v>
      </c>
      <c r="T22" s="17">
        <f t="shared" si="0"/>
        <v>2.1999999999999999E-5</v>
      </c>
      <c r="U22" s="19" t="s">
        <v>52</v>
      </c>
      <c r="V22" s="17" t="s">
        <v>55</v>
      </c>
    </row>
    <row r="23" spans="1:22" x14ac:dyDescent="0.25">
      <c r="A23" s="2" t="s">
        <v>43</v>
      </c>
      <c r="B23" s="20">
        <f>'Budżet 2027'!D11</f>
        <v>0</v>
      </c>
      <c r="C23" s="20" t="e">
        <f>'Budżet 2027'!D26+'Budżet 2027'!D38+'Budżet 2027'!D49+'Budżet 2027'!D57+'Budżet 2027'!D68</f>
        <v>#REF!</v>
      </c>
      <c r="D23" s="20">
        <f>'Budżet 2027'!D76</f>
        <v>0</v>
      </c>
      <c r="E23" s="21" t="e">
        <f t="shared" si="4"/>
        <v>#REF!</v>
      </c>
      <c r="F23" s="21" t="e">
        <f t="shared" ref="F23:F33" si="6">F22+E23</f>
        <v>#REF!</v>
      </c>
      <c r="G23" s="7">
        <f t="shared" si="5"/>
        <v>0</v>
      </c>
      <c r="H23" s="6" t="e">
        <f>D23+E23-#REF!</f>
        <v>#REF!</v>
      </c>
      <c r="R23" s="17" t="str">
        <f>'Budżet 2026'!B36</f>
        <v>Parkingi / Autostrady</v>
      </c>
      <c r="S23" s="18">
        <f>'Budżet 2026'!O36</f>
        <v>0</v>
      </c>
      <c r="T23" s="17">
        <f t="shared" si="0"/>
        <v>2.3E-5</v>
      </c>
      <c r="U23" s="19" t="s">
        <v>52</v>
      </c>
      <c r="V23" s="17" t="s">
        <v>55</v>
      </c>
    </row>
    <row r="24" spans="1:22" x14ac:dyDescent="0.25">
      <c r="A24" s="2" t="s">
        <v>44</v>
      </c>
      <c r="B24" s="20">
        <f>'Budżet 2027'!E11</f>
        <v>0</v>
      </c>
      <c r="C24" s="20" t="e">
        <f>'Budżet 2027'!E26+'Budżet 2027'!E38+'Budżet 2027'!E49+'Budżet 2027'!E57+'Budżet 2027'!E68</f>
        <v>#REF!</v>
      </c>
      <c r="D24" s="20">
        <f>'Budżet 2027'!E76</f>
        <v>0</v>
      </c>
      <c r="E24" s="21" t="e">
        <f t="shared" si="4"/>
        <v>#REF!</v>
      </c>
      <c r="F24" s="21" t="e">
        <f t="shared" si="6"/>
        <v>#REF!</v>
      </c>
      <c r="G24" s="7">
        <f t="shared" si="5"/>
        <v>0</v>
      </c>
      <c r="H24" s="6" t="e">
        <f>D24+E24-#REF!</f>
        <v>#REF!</v>
      </c>
      <c r="R24" s="17" t="str">
        <f>'Budżet 2026'!B37</f>
        <v>Akcesoria samochodowe</v>
      </c>
      <c r="S24" s="18">
        <f>'Budżet 2026'!O37</f>
        <v>0</v>
      </c>
      <c r="T24" s="17">
        <f t="shared" si="0"/>
        <v>2.4000000000000001E-5</v>
      </c>
      <c r="U24" s="19" t="s">
        <v>52</v>
      </c>
      <c r="V24" s="17" t="s">
        <v>55</v>
      </c>
    </row>
    <row r="25" spans="1:22" x14ac:dyDescent="0.25">
      <c r="A25" s="2" t="s">
        <v>45</v>
      </c>
      <c r="B25" s="20">
        <f>'Budżet 2027'!F11</f>
        <v>0</v>
      </c>
      <c r="C25" s="20" t="e">
        <f>'Budżet 2027'!F26+'Budżet 2027'!F38+'Budżet 2027'!F49+'Budżet 2027'!F57+'Budżet 2027'!F68</f>
        <v>#REF!</v>
      </c>
      <c r="D25" s="20">
        <f>'Budżet 2027'!F76</f>
        <v>0</v>
      </c>
      <c r="E25" s="21" t="e">
        <f t="shared" si="4"/>
        <v>#REF!</v>
      </c>
      <c r="F25" s="21" t="e">
        <f t="shared" si="6"/>
        <v>#REF!</v>
      </c>
      <c r="G25" s="7">
        <f t="shared" si="5"/>
        <v>0</v>
      </c>
      <c r="H25" s="6" t="e">
        <f>D25+E25-#REF!</f>
        <v>#REF!</v>
      </c>
      <c r="R25" s="17" t="str">
        <f>'Budżet 2026'!B41</f>
        <v>Zakupy spożywcze (market)</v>
      </c>
      <c r="S25" s="18">
        <f>'Budżet 2026'!O41</f>
        <v>500</v>
      </c>
      <c r="T25" s="17">
        <f t="shared" si="0"/>
        <v>500.00002499999999</v>
      </c>
      <c r="U25" s="19" t="s">
        <v>52</v>
      </c>
      <c r="V25" s="17" t="s">
        <v>58</v>
      </c>
    </row>
    <row r="26" spans="1:22" x14ac:dyDescent="0.25">
      <c r="A26" s="2" t="s">
        <v>46</v>
      </c>
      <c r="B26" s="20">
        <f>'Budżet 2027'!G11</f>
        <v>0</v>
      </c>
      <c r="C26" s="20" t="e">
        <f>'Budżet 2027'!G26+'Budżet 2027'!G38+'Budżet 2027'!G49+'Budżet 2027'!G57+'Budżet 2027'!G68</f>
        <v>#REF!</v>
      </c>
      <c r="D26" s="20">
        <f>'Budżet 2027'!G76</f>
        <v>0</v>
      </c>
      <c r="E26" s="21" t="e">
        <f t="shared" si="4"/>
        <v>#REF!</v>
      </c>
      <c r="F26" s="21" t="e">
        <f t="shared" si="6"/>
        <v>#REF!</v>
      </c>
      <c r="G26" s="7">
        <f t="shared" si="5"/>
        <v>0</v>
      </c>
      <c r="H26" s="6" t="e">
        <f>D26+E26-#REF!</f>
        <v>#REF!</v>
      </c>
      <c r="R26" s="17" t="str">
        <f>'Budżet 2026'!B42</f>
        <v>Jedzenie na mieście / Catering</v>
      </c>
      <c r="S26" s="18">
        <f>'Budżet 2026'!O42</f>
        <v>300</v>
      </c>
      <c r="T26" s="17">
        <f t="shared" si="0"/>
        <v>300.00002599999999</v>
      </c>
      <c r="U26" s="19" t="s">
        <v>52</v>
      </c>
      <c r="V26" s="17" t="s">
        <v>58</v>
      </c>
    </row>
    <row r="27" spans="1:22" x14ac:dyDescent="0.25">
      <c r="A27" s="2" t="s">
        <v>47</v>
      </c>
      <c r="B27" s="20">
        <f>'Budżet 2027'!H11</f>
        <v>0</v>
      </c>
      <c r="C27" s="20" t="e">
        <f>'Budżet 2027'!H26+'Budżet 2027'!H38+'Budżet 2027'!H49+'Budżet 2027'!H57+'Budżet 2027'!H68</f>
        <v>#REF!</v>
      </c>
      <c r="D27" s="20">
        <f>'Budżet 2027'!H76</f>
        <v>0</v>
      </c>
      <c r="E27" s="21" t="e">
        <f t="shared" si="4"/>
        <v>#REF!</v>
      </c>
      <c r="F27" s="21" t="e">
        <f t="shared" si="6"/>
        <v>#REF!</v>
      </c>
      <c r="G27" s="7">
        <f t="shared" si="5"/>
        <v>0</v>
      </c>
      <c r="H27" s="6" t="e">
        <f>D27+E27-#REF!</f>
        <v>#REF!</v>
      </c>
      <c r="R27" s="17" t="str">
        <f>'Budżet 2026'!B43</f>
        <v>Prywatne wizyty lekarskie</v>
      </c>
      <c r="S27" s="18">
        <f>'Budżet 2026'!O43</f>
        <v>2000</v>
      </c>
      <c r="T27" s="17">
        <f t="shared" si="0"/>
        <v>2000.000027</v>
      </c>
      <c r="U27" s="19" t="s">
        <v>52</v>
      </c>
      <c r="V27" s="17" t="s">
        <v>58</v>
      </c>
    </row>
    <row r="28" spans="1:22" x14ac:dyDescent="0.25">
      <c r="A28" s="2" t="s">
        <v>48</v>
      </c>
      <c r="B28" s="20">
        <f>'Budżet 2027'!I11</f>
        <v>0</v>
      </c>
      <c r="C28" s="20" t="e">
        <f>'Budżet 2027'!I26+'Budżet 2027'!I38+'Budżet 2027'!I49+'Budżet 2027'!I57+'Budżet 2027'!I68</f>
        <v>#REF!</v>
      </c>
      <c r="D28" s="20">
        <f>'Budżet 2027'!I76</f>
        <v>0</v>
      </c>
      <c r="E28" s="21" t="e">
        <f t="shared" si="4"/>
        <v>#REF!</v>
      </c>
      <c r="F28" s="21" t="e">
        <f t="shared" si="6"/>
        <v>#REF!</v>
      </c>
      <c r="G28" s="7">
        <f t="shared" si="5"/>
        <v>0</v>
      </c>
      <c r="H28" s="6" t="e">
        <f>D28+E28-#REF!</f>
        <v>#REF!</v>
      </c>
      <c r="R28" s="17" t="str">
        <f>'Budżet 2026'!B44</f>
        <v>Leki i suplementy</v>
      </c>
      <c r="S28" s="18">
        <f>'Budżet 2026'!O44</f>
        <v>0</v>
      </c>
      <c r="T28" s="17">
        <f t="shared" si="0"/>
        <v>2.8E-5</v>
      </c>
      <c r="U28" s="19" t="s">
        <v>52</v>
      </c>
      <c r="V28" s="17" t="s">
        <v>58</v>
      </c>
    </row>
    <row r="29" spans="1:22" x14ac:dyDescent="0.25">
      <c r="A29" s="2" t="s">
        <v>49</v>
      </c>
      <c r="B29" s="20">
        <f>'Budżet 2027'!J11</f>
        <v>0</v>
      </c>
      <c r="C29" s="20" t="e">
        <f>'Budżet 2027'!J26+'Budżet 2027'!J38+'Budżet 2027'!J49+'Budżet 2027'!J57+'Budżet 2027'!J68</f>
        <v>#REF!</v>
      </c>
      <c r="D29" s="20">
        <f>'Budżet 2027'!J76</f>
        <v>0</v>
      </c>
      <c r="E29" s="21" t="e">
        <f t="shared" si="4"/>
        <v>#REF!</v>
      </c>
      <c r="F29" s="21" t="e">
        <f t="shared" si="6"/>
        <v>#REF!</v>
      </c>
      <c r="G29" s="7">
        <f t="shared" si="5"/>
        <v>0</v>
      </c>
      <c r="H29" s="6" t="e">
        <f>D29+E29-#REF!</f>
        <v>#REF!</v>
      </c>
      <c r="R29" s="17" t="str">
        <f>'Budżet 2026'!B45</f>
        <v>Dentysta</v>
      </c>
      <c r="S29" s="18">
        <f>'Budżet 2026'!O45</f>
        <v>0</v>
      </c>
      <c r="T29" s="17">
        <f t="shared" si="0"/>
        <v>2.9E-5</v>
      </c>
      <c r="U29" s="19" t="s">
        <v>52</v>
      </c>
      <c r="V29" s="17" t="s">
        <v>58</v>
      </c>
    </row>
    <row r="30" spans="1:22" x14ac:dyDescent="0.25">
      <c r="A30" s="2" t="s">
        <v>50</v>
      </c>
      <c r="B30" s="20">
        <f>'Budżet 2027'!K11</f>
        <v>0</v>
      </c>
      <c r="C30" s="20" t="e">
        <f>'Budżet 2027'!K26+'Budżet 2027'!K38+'Budżet 2027'!K49+'Budżet 2027'!K57+'Budżet 2027'!K68</f>
        <v>#REF!</v>
      </c>
      <c r="D30" s="20">
        <f>'Budżet 2027'!K76</f>
        <v>0</v>
      </c>
      <c r="E30" s="21" t="e">
        <f t="shared" si="4"/>
        <v>#REF!</v>
      </c>
      <c r="F30" s="21" t="e">
        <f t="shared" si="6"/>
        <v>#REF!</v>
      </c>
      <c r="G30" s="7">
        <f t="shared" si="5"/>
        <v>0</v>
      </c>
      <c r="H30" s="6" t="e">
        <f>D30+E30-#REF!</f>
        <v>#REF!</v>
      </c>
      <c r="R30" s="17" t="str">
        <f>'Budżet 2026'!B46</f>
        <v>Karnet sportowy / Siłownia</v>
      </c>
      <c r="S30" s="18">
        <f>'Budżet 2026'!O46</f>
        <v>0</v>
      </c>
      <c r="T30" s="17">
        <f t="shared" si="0"/>
        <v>3.0000000000000001E-5</v>
      </c>
      <c r="U30" s="19" t="s">
        <v>40</v>
      </c>
      <c r="V30" s="17" t="s">
        <v>58</v>
      </c>
    </row>
    <row r="31" spans="1:22" x14ac:dyDescent="0.25">
      <c r="A31" s="2" t="s">
        <v>51</v>
      </c>
      <c r="B31" s="20">
        <f>'Budżet 2027'!L11</f>
        <v>0</v>
      </c>
      <c r="C31" s="20" t="e">
        <f>'Budżet 2027'!L26+'Budżet 2027'!L38+'Budżet 2027'!L49+'Budżet 2027'!L57+'Budżet 2027'!L68</f>
        <v>#REF!</v>
      </c>
      <c r="D31" s="20">
        <f>'Budżet 2027'!L76</f>
        <v>0</v>
      </c>
      <c r="E31" s="21" t="e">
        <f t="shared" si="4"/>
        <v>#REF!</v>
      </c>
      <c r="F31" s="21" t="e">
        <f t="shared" si="6"/>
        <v>#REF!</v>
      </c>
      <c r="G31" s="7">
        <f t="shared" si="5"/>
        <v>0</v>
      </c>
      <c r="H31" s="6" t="e">
        <f>D31+E31-#REF!</f>
        <v>#REF!</v>
      </c>
      <c r="R31" s="17" t="str">
        <f>'Budżet 2026'!B47</f>
        <v>Kosmetyczka / Fryzjer</v>
      </c>
      <c r="S31" s="18">
        <f>'Budżet 2026'!O47</f>
        <v>0</v>
      </c>
      <c r="T31" s="17">
        <f t="shared" si="0"/>
        <v>3.1000000000000001E-5</v>
      </c>
      <c r="U31" s="19" t="s">
        <v>52</v>
      </c>
      <c r="V31" s="17" t="s">
        <v>58</v>
      </c>
    </row>
    <row r="32" spans="1:22" x14ac:dyDescent="0.25">
      <c r="A32" s="2" t="s">
        <v>53</v>
      </c>
      <c r="B32" s="20">
        <f>'Budżet 2027'!M11</f>
        <v>0</v>
      </c>
      <c r="C32" s="20" t="e">
        <f>'Budżet 2027'!M26+'Budżet 2027'!M38+'Budżet 2027'!M49+'Budżet 2027'!M57+'Budżet 2027'!M68</f>
        <v>#REF!</v>
      </c>
      <c r="D32" s="20">
        <f>'Budżet 2027'!M76</f>
        <v>0</v>
      </c>
      <c r="E32" s="21" t="e">
        <f t="shared" si="4"/>
        <v>#REF!</v>
      </c>
      <c r="F32" s="21" t="e">
        <f t="shared" si="6"/>
        <v>#REF!</v>
      </c>
      <c r="G32" s="7">
        <f t="shared" si="5"/>
        <v>0</v>
      </c>
      <c r="H32" s="6" t="e">
        <f>D32+E32-#REF!</f>
        <v>#REF!</v>
      </c>
      <c r="R32" s="17" t="str">
        <f>'Budżet 2026'!B48</f>
        <v>Odzież i obuwie</v>
      </c>
      <c r="S32" s="18">
        <f>'Budżet 2026'!O48</f>
        <v>0</v>
      </c>
      <c r="T32" s="17">
        <f t="shared" si="0"/>
        <v>3.1999999999999999E-5</v>
      </c>
      <c r="U32" s="19" t="s">
        <v>52</v>
      </c>
      <c r="V32" s="17" t="s">
        <v>58</v>
      </c>
    </row>
    <row r="33" spans="1:22" x14ac:dyDescent="0.25">
      <c r="A33" s="2" t="s">
        <v>54</v>
      </c>
      <c r="B33" s="20">
        <f>'Budżet 2027'!N11</f>
        <v>0</v>
      </c>
      <c r="C33" s="20" t="e">
        <f>'Budżet 2027'!N26+'Budżet 2027'!N38+'Budżet 2027'!N49+'Budżet 2027'!N57+'Budżet 2027'!N68</f>
        <v>#REF!</v>
      </c>
      <c r="D33" s="20">
        <f>'Budżet 2027'!N76</f>
        <v>0</v>
      </c>
      <c r="E33" s="21" t="e">
        <f t="shared" si="4"/>
        <v>#REF!</v>
      </c>
      <c r="F33" s="21" t="e">
        <f t="shared" si="6"/>
        <v>#REF!</v>
      </c>
      <c r="G33" s="7">
        <f t="shared" si="5"/>
        <v>0</v>
      </c>
      <c r="H33" s="6" t="e">
        <f>D33+E33-#REF!</f>
        <v>#REF!</v>
      </c>
      <c r="R33" s="17" t="str">
        <f>'Budżet 2026'!B52</f>
        <v>Czesne za studia / Szkołę</v>
      </c>
      <c r="S33" s="18">
        <f>'Budżet 2026'!O52</f>
        <v>768</v>
      </c>
      <c r="T33" s="17">
        <f t="shared" si="0"/>
        <v>768.00003300000003</v>
      </c>
      <c r="U33" s="19" t="s">
        <v>40</v>
      </c>
      <c r="V33" s="17" t="s">
        <v>59</v>
      </c>
    </row>
    <row r="34" spans="1:22" x14ac:dyDescent="0.25">
      <c r="A34" s="8" t="s">
        <v>56</v>
      </c>
      <c r="B34" s="9">
        <f>SUM(B22:B33)</f>
        <v>0</v>
      </c>
      <c r="C34" s="9" t="e">
        <f>SUM(C22:C33)</f>
        <v>#REF!</v>
      </c>
      <c r="D34" s="9">
        <f>SUM(D22:D33)</f>
        <v>0</v>
      </c>
      <c r="E34" s="9" t="e">
        <f>SUM(E22:E33)</f>
        <v>#REF!</v>
      </c>
      <c r="F34" s="9" t="e">
        <f>F33</f>
        <v>#REF!</v>
      </c>
      <c r="G34" s="10">
        <f t="shared" si="5"/>
        <v>0</v>
      </c>
      <c r="H34" s="9" t="e">
        <f>SUM(H22:H33)</f>
        <v>#REF!</v>
      </c>
      <c r="R34" s="17" t="str">
        <f>'Budżet 2026'!B53</f>
        <v>Kursy online / Szkolenia</v>
      </c>
      <c r="S34" s="18">
        <f>'Budżet 2026'!O53</f>
        <v>0</v>
      </c>
      <c r="T34" s="17">
        <f t="shared" si="0"/>
        <v>3.4E-5</v>
      </c>
      <c r="U34" s="19" t="s">
        <v>52</v>
      </c>
      <c r="V34" s="17" t="s">
        <v>59</v>
      </c>
    </row>
    <row r="35" spans="1:22" x14ac:dyDescent="0.25">
      <c r="R35" s="17" t="str">
        <f>'Budżet 2026'!B54</f>
        <v>Książki / E-booki</v>
      </c>
      <c r="S35" s="18">
        <f>'Budżet 2026'!O54</f>
        <v>0</v>
      </c>
      <c r="T35" s="17">
        <f t="shared" si="0"/>
        <v>3.4999999999999997E-5</v>
      </c>
      <c r="U35" s="19" t="s">
        <v>52</v>
      </c>
      <c r="V35" s="17" t="s">
        <v>59</v>
      </c>
    </row>
    <row r="36" spans="1:22" ht="19.5" customHeight="1" x14ac:dyDescent="0.25">
      <c r="A36" s="51" t="s">
        <v>60</v>
      </c>
      <c r="B36" s="51"/>
      <c r="C36" s="51"/>
      <c r="D36" s="51"/>
      <c r="E36" s="51"/>
      <c r="F36" s="51"/>
      <c r="G36" s="51"/>
      <c r="H36" s="51"/>
      <c r="R36" s="17" t="str">
        <f>'Budżet 2026'!B55</f>
        <v>Subskrypcje edukacyjne</v>
      </c>
      <c r="S36" s="18">
        <f>'Budżet 2026'!O55</f>
        <v>0</v>
      </c>
      <c r="T36" s="17">
        <f t="shared" si="0"/>
        <v>3.6000000000000001E-5</v>
      </c>
      <c r="U36" s="19" t="s">
        <v>40</v>
      </c>
      <c r="V36" s="17" t="s">
        <v>59</v>
      </c>
    </row>
    <row r="37" spans="1:22" x14ac:dyDescent="0.25">
      <c r="A37" s="3" t="s">
        <v>61</v>
      </c>
      <c r="B37" s="3" t="s">
        <v>14</v>
      </c>
      <c r="C37" s="3" t="s">
        <v>62</v>
      </c>
      <c r="D37" s="3" t="s">
        <v>63</v>
      </c>
      <c r="E37" s="3" t="s">
        <v>15</v>
      </c>
      <c r="F37" s="3" t="s">
        <v>64</v>
      </c>
      <c r="G37" s="3" t="s">
        <v>65</v>
      </c>
      <c r="H37" s="3" t="s">
        <v>66</v>
      </c>
      <c r="R37" s="17" t="str">
        <f>'Budżet 2026'!B56</f>
        <v>Sprzęt edukacyjny (laptop, tablet)</v>
      </c>
      <c r="S37" s="18">
        <f>'Budżet 2026'!O56</f>
        <v>0</v>
      </c>
      <c r="T37" s="17">
        <f t="shared" si="0"/>
        <v>3.6999999999999998E-5</v>
      </c>
      <c r="U37" s="19" t="s">
        <v>52</v>
      </c>
      <c r="V37" s="17" t="s">
        <v>59</v>
      </c>
    </row>
    <row r="38" spans="1:22" x14ac:dyDescent="0.25">
      <c r="A38" s="2" t="s">
        <v>41</v>
      </c>
      <c r="B38" s="20">
        <f>'Budżet 2026'!O26</f>
        <v>856</v>
      </c>
      <c r="C38" s="7">
        <f t="shared" ref="C38:C43" si="7">IFERROR(B38/$B$44,0)</f>
        <v>6.1476587187589776E-2</v>
      </c>
      <c r="D38" s="6">
        <f t="shared" ref="D38:D43" si="8">B38/12</f>
        <v>71.333333333333329</v>
      </c>
      <c r="E38" s="20">
        <f>'Budżet 2027'!O26</f>
        <v>0</v>
      </c>
      <c r="F38" s="7">
        <f t="shared" ref="F38:F44" si="9">IFERROR(E38/B38-1,0)</f>
        <v>-1</v>
      </c>
      <c r="G38" s="6">
        <f>MAX('Budżet 2026'!C26:N26)</f>
        <v>326</v>
      </c>
      <c r="H38" s="6">
        <f>MIN('Budżet 2026'!C26:N26)</f>
        <v>0</v>
      </c>
      <c r="R38" s="17" t="str">
        <f>'Budżet 2026'!B60</f>
        <v>Netflix / Disney+ / Spotify</v>
      </c>
      <c r="S38" s="18">
        <f>'Budżet 2026'!O60</f>
        <v>0</v>
      </c>
      <c r="T38" s="17">
        <f t="shared" si="0"/>
        <v>3.8000000000000002E-5</v>
      </c>
      <c r="U38" s="19" t="s">
        <v>40</v>
      </c>
      <c r="V38" s="17" t="s">
        <v>67</v>
      </c>
    </row>
    <row r="39" spans="1:22" x14ac:dyDescent="0.25">
      <c r="A39" s="2" t="s">
        <v>55</v>
      </c>
      <c r="B39" s="20">
        <f>'Budżet 2026'!O38</f>
        <v>50</v>
      </c>
      <c r="C39" s="7">
        <f t="shared" si="7"/>
        <v>3.590922148807814E-3</v>
      </c>
      <c r="D39" s="6">
        <f t="shared" si="8"/>
        <v>4.166666666666667</v>
      </c>
      <c r="E39" s="20">
        <f>'Budżet 2027'!O38</f>
        <v>0</v>
      </c>
      <c r="F39" s="7">
        <f t="shared" si="9"/>
        <v>-1</v>
      </c>
      <c r="G39" s="6">
        <f>MAX('Budżet 2026'!C38:N38)</f>
        <v>50</v>
      </c>
      <c r="H39" s="6">
        <f>MIN('Budżet 2026'!C38:N38)</f>
        <v>0</v>
      </c>
      <c r="R39" s="17" t="str">
        <f>'Budżet 2026'!B61</f>
        <v>Kino / Teatr / Koncerty</v>
      </c>
      <c r="S39" s="18">
        <f>'Budżet 2026'!O61</f>
        <v>100</v>
      </c>
      <c r="T39" s="17">
        <f t="shared" si="0"/>
        <v>100.000039</v>
      </c>
      <c r="U39" s="19" t="s">
        <v>52</v>
      </c>
      <c r="V39" s="17" t="s">
        <v>67</v>
      </c>
    </row>
    <row r="40" spans="1:22" x14ac:dyDescent="0.25">
      <c r="A40" s="2" t="s">
        <v>58</v>
      </c>
      <c r="B40" s="20">
        <f>'Budżet 2026'!O49</f>
        <v>2800</v>
      </c>
      <c r="C40" s="7">
        <f t="shared" si="7"/>
        <v>0.20109164033323756</v>
      </c>
      <c r="D40" s="6">
        <f t="shared" si="8"/>
        <v>233.33333333333334</v>
      </c>
      <c r="E40" s="20" t="e">
        <f>'Budżet 2027'!O49</f>
        <v>#REF!</v>
      </c>
      <c r="F40" s="7">
        <f t="shared" si="9"/>
        <v>0</v>
      </c>
      <c r="G40" s="6">
        <f>MAX('Budżet 2026'!C49:N49)</f>
        <v>2800</v>
      </c>
      <c r="H40" s="6">
        <f>MIN('Budżet 2026'!C49:N49)</f>
        <v>0</v>
      </c>
      <c r="R40" s="17" t="str">
        <f>'Budżet 2026'!B62</f>
        <v>Hobby / Akcesoria</v>
      </c>
      <c r="S40" s="18">
        <f>'Budżet 2026'!O62</f>
        <v>0</v>
      </c>
      <c r="T40" s="17">
        <f t="shared" si="0"/>
        <v>4.0000000000000003E-5</v>
      </c>
      <c r="U40" s="19" t="s">
        <v>52</v>
      </c>
      <c r="V40" s="17" t="s">
        <v>67</v>
      </c>
    </row>
    <row r="41" spans="1:22" x14ac:dyDescent="0.25">
      <c r="A41" s="2" t="s">
        <v>59</v>
      </c>
      <c r="B41" s="20">
        <f>'Budżet 2026'!O57</f>
        <v>768</v>
      </c>
      <c r="C41" s="7">
        <f t="shared" si="7"/>
        <v>5.515656420568802E-2</v>
      </c>
      <c r="D41" s="6">
        <f t="shared" si="8"/>
        <v>64</v>
      </c>
      <c r="E41" s="20">
        <f>'Budżet 2027'!O57</f>
        <v>0</v>
      </c>
      <c r="F41" s="7">
        <f t="shared" si="9"/>
        <v>-1</v>
      </c>
      <c r="G41" s="6">
        <f>MAX('Budżet 2026'!C57:N57)</f>
        <v>768</v>
      </c>
      <c r="H41" s="6">
        <f>MIN('Budżet 2026'!C57:N57)</f>
        <v>0</v>
      </c>
      <c r="R41" s="17" t="str">
        <f>'Budżet 2026'!B63</f>
        <v>Zwierzęta (karma, weterynarz)</v>
      </c>
      <c r="S41" s="18">
        <f>'Budżet 2026'!O63</f>
        <v>0</v>
      </c>
      <c r="T41" s="17">
        <f t="shared" si="0"/>
        <v>4.1E-5</v>
      </c>
      <c r="U41" s="19" t="s">
        <v>52</v>
      </c>
      <c r="V41" s="17" t="s">
        <v>67</v>
      </c>
    </row>
    <row r="42" spans="1:22" x14ac:dyDescent="0.25">
      <c r="A42" s="2" t="s">
        <v>67</v>
      </c>
      <c r="B42" s="20">
        <f>'Budżet 2026'!O68</f>
        <v>1450</v>
      </c>
      <c r="C42" s="7">
        <f t="shared" si="7"/>
        <v>0.10413674231542661</v>
      </c>
      <c r="D42" s="6">
        <f t="shared" si="8"/>
        <v>120.83333333333333</v>
      </c>
      <c r="E42" s="20">
        <f>'Budżet 2027'!O68</f>
        <v>0</v>
      </c>
      <c r="F42" s="7">
        <f t="shared" si="9"/>
        <v>-1</v>
      </c>
      <c r="G42" s="6">
        <f>MAX('Budżet 2026'!C68:N68)</f>
        <v>1450</v>
      </c>
      <c r="H42" s="6">
        <f>MIN('Budżet 2026'!C68:N68)</f>
        <v>0</v>
      </c>
      <c r="R42" s="17" t="str">
        <f>'Budżet 2026'!B64</f>
        <v>Dzieci (zajęcia, zabawki, kieszonkowe)</v>
      </c>
      <c r="S42" s="18">
        <f>'Budżet 2026'!O64</f>
        <v>50</v>
      </c>
      <c r="T42" s="17">
        <f t="shared" si="0"/>
        <v>50.000042000000001</v>
      </c>
      <c r="U42" s="19" t="s">
        <v>52</v>
      </c>
      <c r="V42" s="17" t="s">
        <v>67</v>
      </c>
    </row>
    <row r="43" spans="1:22" x14ac:dyDescent="0.25">
      <c r="A43" s="2" t="s">
        <v>68</v>
      </c>
      <c r="B43" s="20">
        <f>'Budżet 2026'!O76</f>
        <v>8000</v>
      </c>
      <c r="C43" s="7">
        <f t="shared" si="7"/>
        <v>0.57454754380925022</v>
      </c>
      <c r="D43" s="6">
        <f t="shared" si="8"/>
        <v>666.66666666666663</v>
      </c>
      <c r="E43" s="20">
        <f>'Budżet 2027'!O76</f>
        <v>0</v>
      </c>
      <c r="F43" s="7">
        <f t="shared" si="9"/>
        <v>-1</v>
      </c>
      <c r="G43" s="6">
        <f>MAX('Budżet 2026'!C76:N76)</f>
        <v>8000</v>
      </c>
      <c r="H43" s="6">
        <f>MIN('Budżet 2026'!C76:N76)</f>
        <v>0</v>
      </c>
      <c r="R43" s="17" t="str">
        <f>'Budżet 2026'!B65</f>
        <v>Prezenty</v>
      </c>
      <c r="S43" s="18">
        <f>'Budżet 2026'!O65</f>
        <v>0</v>
      </c>
      <c r="T43" s="17">
        <f t="shared" si="0"/>
        <v>4.3000000000000002E-5</v>
      </c>
      <c r="U43" s="19" t="s">
        <v>52</v>
      </c>
      <c r="V43" s="17" t="s">
        <v>67</v>
      </c>
    </row>
    <row r="44" spans="1:22" x14ac:dyDescent="0.25">
      <c r="A44" s="8" t="s">
        <v>69</v>
      </c>
      <c r="B44" s="9">
        <f>SUM(B38:B43)</f>
        <v>13924</v>
      </c>
      <c r="C44" s="8" t="s">
        <v>70</v>
      </c>
      <c r="D44" s="9">
        <f>SUM(D38:D43)</f>
        <v>1160.3333333333333</v>
      </c>
      <c r="E44" s="9" t="e">
        <f>SUM(E38:E43)</f>
        <v>#REF!</v>
      </c>
      <c r="F44" s="10">
        <f t="shared" si="9"/>
        <v>0</v>
      </c>
      <c r="G44" s="9">
        <f>SUM(G38:G43)</f>
        <v>13394</v>
      </c>
      <c r="H44" s="9">
        <f>SUM(H38:H43)</f>
        <v>0</v>
      </c>
      <c r="R44" s="17" t="str">
        <f>'Budżet 2026'!B66</f>
        <v>Wyjścia z przyjaciółmi</v>
      </c>
      <c r="S44" s="18">
        <f>'Budżet 2026'!O66</f>
        <v>300</v>
      </c>
      <c r="T44" s="17">
        <f t="shared" si="0"/>
        <v>300.000044</v>
      </c>
      <c r="U44" s="19" t="s">
        <v>52</v>
      </c>
      <c r="V44" s="17" t="s">
        <v>67</v>
      </c>
    </row>
    <row r="45" spans="1:22" x14ac:dyDescent="0.25">
      <c r="R45" s="17" t="str">
        <f>'Budżet 2026'!B67</f>
        <v>Inne nieprzewidziane</v>
      </c>
      <c r="S45" s="18">
        <f>'Budżet 2026'!O67</f>
        <v>1000</v>
      </c>
      <c r="T45" s="17">
        <f t="shared" si="0"/>
        <v>1000.000045</v>
      </c>
      <c r="U45" s="19" t="s">
        <v>52</v>
      </c>
      <c r="V45" s="17" t="s">
        <v>67</v>
      </c>
    </row>
    <row r="46" spans="1:22" ht="19.5" customHeight="1" x14ac:dyDescent="0.25">
      <c r="A46" s="51" t="s">
        <v>71</v>
      </c>
      <c r="B46" s="51"/>
      <c r="C46" s="51"/>
      <c r="D46" s="51"/>
      <c r="E46" s="51"/>
      <c r="F46" s="51"/>
      <c r="G46" s="51"/>
      <c r="H46" s="51"/>
      <c r="R46" s="17" t="str">
        <f>'Budżet 2026'!B71</f>
        <v>Poduszka finansowa (Fundusz awaryjny)</v>
      </c>
      <c r="S46" s="18">
        <f>'Budżet 2026'!O71</f>
        <v>0</v>
      </c>
      <c r="T46" s="17">
        <f t="shared" si="0"/>
        <v>4.6E-5</v>
      </c>
      <c r="U46" s="19" t="s">
        <v>11</v>
      </c>
      <c r="V46" s="17" t="s">
        <v>68</v>
      </c>
    </row>
    <row r="47" spans="1:22" ht="28.5" x14ac:dyDescent="0.25">
      <c r="A47" s="3" t="s">
        <v>72</v>
      </c>
      <c r="B47" s="3" t="s">
        <v>73</v>
      </c>
      <c r="C47" s="3" t="s">
        <v>74</v>
      </c>
      <c r="D47" s="3" t="s">
        <v>75</v>
      </c>
      <c r="E47" s="3" t="s">
        <v>63</v>
      </c>
      <c r="F47" s="3"/>
      <c r="G47" s="3"/>
      <c r="H47" s="3"/>
      <c r="R47" s="17" t="str">
        <f>'Budżet 2026'!B72</f>
        <v>Konto emerytalne (IKE/IKZE)</v>
      </c>
      <c r="S47" s="18">
        <f>'Budżet 2026'!O72</f>
        <v>0</v>
      </c>
      <c r="T47" s="17">
        <f t="shared" si="0"/>
        <v>4.6999999999999997E-5</v>
      </c>
      <c r="U47" s="19" t="s">
        <v>11</v>
      </c>
      <c r="V47" s="17" t="s">
        <v>68</v>
      </c>
    </row>
    <row r="48" spans="1:22" x14ac:dyDescent="0.25">
      <c r="A48" s="11">
        <v>1</v>
      </c>
      <c r="B48" s="11" t="str">
        <f>INDEX($R$4:$R$50,MATCH(LARGE($T$4:$T$50,1),$T$4:$T$50,0))</f>
        <v>Inwestycje (Giełda/ETF)</v>
      </c>
      <c r="C48" s="21">
        <f>ROUND(LARGE($T$4:$T$50,1),2)</f>
        <v>8000</v>
      </c>
      <c r="D48" s="7">
        <f t="shared" ref="D48:D57" si="10">IFERROR(C48/$B$44,0)</f>
        <v>0.57454754380925022</v>
      </c>
      <c r="E48" s="6">
        <f t="shared" ref="E48:E57" si="11">C48/12</f>
        <v>666.66666666666663</v>
      </c>
      <c r="R48" s="17" t="str">
        <f>'Budżet 2026'!B73</f>
        <v>Inwestycje (Giełda/ETF)</v>
      </c>
      <c r="S48" s="18">
        <f>'Budżet 2026'!O73</f>
        <v>8000</v>
      </c>
      <c r="T48" s="17">
        <f t="shared" si="0"/>
        <v>8000.0000479999999</v>
      </c>
      <c r="U48" s="19" t="s">
        <v>11</v>
      </c>
      <c r="V48" s="17" t="s">
        <v>68</v>
      </c>
    </row>
    <row r="49" spans="1:22" x14ac:dyDescent="0.25">
      <c r="A49" s="11">
        <v>2</v>
      </c>
      <c r="B49" s="11" t="str">
        <f>INDEX($R$4:$R$50,MATCH(LARGE($T$4:$T$50,2),$T$4:$T$50,0))</f>
        <v>Prywatne wizyty lekarskie</v>
      </c>
      <c r="C49" s="21">
        <f>ROUND(LARGE($T$4:$T$50,2),2)</f>
        <v>2000</v>
      </c>
      <c r="D49" s="7">
        <f t="shared" si="10"/>
        <v>0.14363688595231255</v>
      </c>
      <c r="E49" s="6">
        <f t="shared" si="11"/>
        <v>166.66666666666666</v>
      </c>
      <c r="R49" s="17" t="str">
        <f>'Budżet 2026'!B74</f>
        <v>Oszczędności celowe (Wakacje)</v>
      </c>
      <c r="S49" s="18">
        <f>'Budżet 2026'!O74</f>
        <v>0</v>
      </c>
      <c r="T49" s="17">
        <f t="shared" si="0"/>
        <v>4.8999999999999998E-5</v>
      </c>
      <c r="U49" s="19" t="s">
        <v>11</v>
      </c>
      <c r="V49" s="17" t="s">
        <v>68</v>
      </c>
    </row>
    <row r="50" spans="1:22" x14ac:dyDescent="0.25">
      <c r="A50" s="11">
        <v>3</v>
      </c>
      <c r="B50" s="11" t="str">
        <f>INDEX($R$4:$R$50,MATCH(LARGE($T$4:$T$50,3),$T$4:$T$50,0))</f>
        <v>Inne nieprzewidziane</v>
      </c>
      <c r="C50" s="21">
        <f>ROUND(LARGE($T$4:$T$50,3),2)</f>
        <v>1000</v>
      </c>
      <c r="D50" s="7">
        <f t="shared" si="10"/>
        <v>7.1818442976156277E-2</v>
      </c>
      <c r="E50" s="6">
        <f t="shared" si="11"/>
        <v>83.333333333333329</v>
      </c>
      <c r="R50" s="17" t="str">
        <f>'Budżet 2026'!B75</f>
        <v>Spłata długów (poza ratami)</v>
      </c>
      <c r="S50" s="18">
        <f>'Budżet 2026'!O75</f>
        <v>0</v>
      </c>
      <c r="T50" s="17">
        <f t="shared" si="0"/>
        <v>5.0000000000000002E-5</v>
      </c>
      <c r="U50" s="19" t="s">
        <v>11</v>
      </c>
      <c r="V50" s="17" t="s">
        <v>68</v>
      </c>
    </row>
    <row r="51" spans="1:22" x14ac:dyDescent="0.25">
      <c r="A51" s="11">
        <v>4</v>
      </c>
      <c r="B51" s="11" t="str">
        <f>INDEX($R$4:$R$50,MATCH(LARGE($T$4:$T$50,4),$T$4:$T$50,0))</f>
        <v>Czesne za studia / Szkołę</v>
      </c>
      <c r="C51" s="21">
        <f>ROUND(LARGE($T$4:$T$50,4),2)</f>
        <v>768</v>
      </c>
      <c r="D51" s="7">
        <f t="shared" si="10"/>
        <v>5.515656420568802E-2</v>
      </c>
      <c r="E51" s="6">
        <f t="shared" si="11"/>
        <v>64</v>
      </c>
    </row>
    <row r="52" spans="1:22" x14ac:dyDescent="0.25">
      <c r="A52" s="11">
        <v>5</v>
      </c>
      <c r="B52" s="11" t="str">
        <f>INDEX($R$4:$R$50,MATCH(LARGE($T$4:$T$50,5),$T$4:$T$50,0))</f>
        <v>Zakupy spożywcze (market)</v>
      </c>
      <c r="C52" s="21">
        <f>ROUND(LARGE($T$4:$T$50,5),2)</f>
        <v>500</v>
      </c>
      <c r="D52" s="7">
        <f t="shared" si="10"/>
        <v>3.5909221488078139E-2</v>
      </c>
      <c r="E52" s="6">
        <f t="shared" si="11"/>
        <v>41.666666666666664</v>
      </c>
    </row>
    <row r="53" spans="1:22" x14ac:dyDescent="0.25">
      <c r="A53" s="11">
        <v>6</v>
      </c>
      <c r="B53" s="11" t="str">
        <f>INDEX($R$4:$R$50,MATCH(LARGE($T$4:$T$50,6),$T$4:$T$50,0))</f>
        <v>Internet / Wi-Fi</v>
      </c>
      <c r="C53" s="21">
        <f>ROUND(LARGE($T$4:$T$50,6),2)</f>
        <v>385</v>
      </c>
      <c r="D53" s="7">
        <f t="shared" si="10"/>
        <v>2.7650100545820167E-2</v>
      </c>
      <c r="E53" s="6">
        <f t="shared" si="11"/>
        <v>32.083333333333336</v>
      </c>
    </row>
    <row r="54" spans="1:22" x14ac:dyDescent="0.25">
      <c r="A54" s="11">
        <v>7</v>
      </c>
      <c r="B54" s="11" t="str">
        <f>INDEX($R$4:$R$50,MATCH(LARGE($T$4:$T$50,7),$T$4:$T$50,0))</f>
        <v>Wyjścia z przyjaciółmi</v>
      </c>
      <c r="C54" s="21">
        <f>ROUND(LARGE($T$4:$T$50,7),2)</f>
        <v>300</v>
      </c>
      <c r="D54" s="7">
        <f t="shared" si="10"/>
        <v>2.1545532892846882E-2</v>
      </c>
      <c r="E54" s="6">
        <f t="shared" si="11"/>
        <v>25</v>
      </c>
    </row>
    <row r="55" spans="1:22" x14ac:dyDescent="0.25">
      <c r="A55" s="11">
        <v>8</v>
      </c>
      <c r="B55" s="11" t="str">
        <f>INDEX($R$4:$R$50,MATCH(LARGE($T$4:$T$50,8),$T$4:$T$50,0))</f>
        <v>Jedzenie na mieście / Catering</v>
      </c>
      <c r="C55" s="21">
        <f>ROUND(LARGE($T$4:$T$50,8),2)</f>
        <v>300</v>
      </c>
      <c r="D55" s="7">
        <f t="shared" si="10"/>
        <v>2.1545532892846882E-2</v>
      </c>
      <c r="E55" s="6">
        <f t="shared" si="11"/>
        <v>25</v>
      </c>
    </row>
    <row r="56" spans="1:22" x14ac:dyDescent="0.25">
      <c r="A56" s="11">
        <v>9</v>
      </c>
      <c r="B56" s="11" t="str">
        <f>INDEX($R$4:$R$50,MATCH(LARGE($T$4:$T$50,9),$T$4:$T$50,0))</f>
        <v>Prąd</v>
      </c>
      <c r="C56" s="21">
        <f>ROUND(LARGE($T$4:$T$50,9),2)</f>
        <v>271</v>
      </c>
      <c r="D56" s="7">
        <f t="shared" si="10"/>
        <v>1.9462798046538349E-2</v>
      </c>
      <c r="E56" s="6">
        <f t="shared" si="11"/>
        <v>22.583333333333332</v>
      </c>
    </row>
    <row r="57" spans="1:22" x14ac:dyDescent="0.25">
      <c r="A57" s="11">
        <v>10</v>
      </c>
      <c r="B57" s="11" t="str">
        <f>INDEX($R$4:$R$50,MATCH(LARGE($T$4:$T$50,10),$T$4:$T$50,0))</f>
        <v>Gaz</v>
      </c>
      <c r="C57" s="21">
        <f>ROUND(LARGE($T$4:$T$50,10),2)</f>
        <v>200</v>
      </c>
      <c r="D57" s="7">
        <f t="shared" si="10"/>
        <v>1.4363688595231256E-2</v>
      </c>
      <c r="E57" s="6">
        <f t="shared" si="11"/>
        <v>16.666666666666668</v>
      </c>
    </row>
    <row r="59" spans="1:22" ht="19.5" customHeight="1" x14ac:dyDescent="0.25">
      <c r="A59" s="51" t="s">
        <v>76</v>
      </c>
      <c r="B59" s="51"/>
      <c r="C59" s="51"/>
      <c r="D59" s="51"/>
      <c r="E59" s="51"/>
      <c r="F59" s="51"/>
      <c r="G59" s="51"/>
      <c r="H59" s="51"/>
    </row>
    <row r="60" spans="1:22" x14ac:dyDescent="0.25">
      <c r="A60" s="3" t="s">
        <v>77</v>
      </c>
      <c r="B60" s="3" t="s">
        <v>74</v>
      </c>
      <c r="C60" s="3" t="s">
        <v>78</v>
      </c>
      <c r="D60" s="3" t="s">
        <v>63</v>
      </c>
      <c r="E60" s="3"/>
      <c r="F60" s="3"/>
      <c r="G60" s="3"/>
      <c r="H60" s="3"/>
    </row>
    <row r="61" spans="1:22" x14ac:dyDescent="0.25">
      <c r="A61" s="11" t="s">
        <v>40</v>
      </c>
      <c r="B61" s="21">
        <f>SUMIF($U$4:$U$50,"Stałe",$S$4:$S$50)</f>
        <v>1624</v>
      </c>
      <c r="C61" s="22">
        <f>IFERROR(B61/$B$44,0)</f>
        <v>0.11663315139327779</v>
      </c>
      <c r="D61" s="23">
        <f>B61/12</f>
        <v>135.33333333333334</v>
      </c>
    </row>
    <row r="62" spans="1:22" x14ac:dyDescent="0.25">
      <c r="A62" s="11" t="s">
        <v>52</v>
      </c>
      <c r="B62" s="21">
        <f>SUMIF($U$4:$U$50,"Zmienne",$S$4:$S$50)</f>
        <v>4300</v>
      </c>
      <c r="C62" s="22">
        <f>IFERROR(B62/$B$44,0)</f>
        <v>0.30881930479747199</v>
      </c>
      <c r="D62" s="23">
        <f>B62/12</f>
        <v>358.33333333333331</v>
      </c>
    </row>
    <row r="63" spans="1:22" x14ac:dyDescent="0.25">
      <c r="A63" s="11" t="s">
        <v>11</v>
      </c>
      <c r="B63" s="21">
        <f>SUMIF($U$4:$U$50,"Oszczędności / inwestycje",$S$4:$S$50)</f>
        <v>8000</v>
      </c>
      <c r="C63" s="22">
        <f>IFERROR(B63/$B$44,0)</f>
        <v>0.57454754380925022</v>
      </c>
      <c r="D63" s="23">
        <f>B63/12</f>
        <v>666.66666666666663</v>
      </c>
    </row>
    <row r="65" spans="1:8" ht="19.5" customHeight="1" x14ac:dyDescent="0.25">
      <c r="A65" s="51" t="s">
        <v>79</v>
      </c>
      <c r="B65" s="51"/>
      <c r="C65" s="51"/>
      <c r="D65" s="51"/>
      <c r="E65" s="51"/>
      <c r="F65" s="51"/>
      <c r="G65" s="51"/>
      <c r="H65" s="51"/>
    </row>
    <row r="66" spans="1:8" x14ac:dyDescent="0.25">
      <c r="A66" s="3" t="s">
        <v>80</v>
      </c>
      <c r="B66" s="3" t="s">
        <v>31</v>
      </c>
      <c r="C66" s="3" t="s">
        <v>81</v>
      </c>
      <c r="D66" s="3"/>
      <c r="E66" s="3"/>
      <c r="F66" s="3"/>
      <c r="G66" s="3"/>
      <c r="H66" s="3"/>
    </row>
    <row r="67" spans="1:8" x14ac:dyDescent="0.25">
      <c r="A67" s="11" t="s">
        <v>82</v>
      </c>
      <c r="B67" s="12">
        <f>AVERAGE(B5:B16)</f>
        <v>585.5</v>
      </c>
      <c r="C67" s="24" t="s">
        <v>83</v>
      </c>
    </row>
    <row r="68" spans="1:8" x14ac:dyDescent="0.25">
      <c r="A68" s="11" t="s">
        <v>84</v>
      </c>
      <c r="B68" s="12">
        <f>AVERAGE(C5:C16)</f>
        <v>493.66666666666669</v>
      </c>
      <c r="C68" s="24" t="s">
        <v>85</v>
      </c>
    </row>
    <row r="69" spans="1:8" x14ac:dyDescent="0.25">
      <c r="A69" s="11" t="s">
        <v>86</v>
      </c>
      <c r="B69" s="12">
        <f>MEDIAN(C5:C16)</f>
        <v>27.5</v>
      </c>
      <c r="C69" s="24" t="s">
        <v>87</v>
      </c>
    </row>
    <row r="70" spans="1:8" x14ac:dyDescent="0.25">
      <c r="A70" s="11" t="s">
        <v>88</v>
      </c>
      <c r="B70" s="12">
        <f>STDEV(C5:C16)</f>
        <v>1540.8609950480952</v>
      </c>
      <c r="C70" s="24" t="s">
        <v>89</v>
      </c>
    </row>
    <row r="71" spans="1:8" x14ac:dyDescent="0.25">
      <c r="A71" s="11" t="s">
        <v>90</v>
      </c>
      <c r="B71" s="13" t="str">
        <f>INDEX(A5:A16,MATCH(MAX(C5:C16),C5:C16,0))</f>
        <v>Lipiec</v>
      </c>
      <c r="C71" s="24" t="s">
        <v>91</v>
      </c>
    </row>
    <row r="72" spans="1:8" x14ac:dyDescent="0.25">
      <c r="A72" s="11" t="s">
        <v>92</v>
      </c>
      <c r="B72" s="12">
        <f>MAX(C5:C16)</f>
        <v>5378</v>
      </c>
      <c r="C72" s="24"/>
    </row>
    <row r="73" spans="1:8" x14ac:dyDescent="0.25">
      <c r="A73" s="11" t="s">
        <v>93</v>
      </c>
      <c r="B73" s="13" t="str">
        <f>INDEX(A5:A16,MATCH(MIN(C5:C16),C5:C16,0))</f>
        <v>Styczeń</v>
      </c>
      <c r="C73" s="24"/>
    </row>
    <row r="74" spans="1:8" x14ac:dyDescent="0.25">
      <c r="A74" s="11" t="s">
        <v>94</v>
      </c>
      <c r="B74" s="12">
        <f>MIN(C5:C16)</f>
        <v>0</v>
      </c>
      <c r="C74" s="24"/>
    </row>
    <row r="75" spans="1:8" x14ac:dyDescent="0.25">
      <c r="A75" s="11" t="s">
        <v>23</v>
      </c>
      <c r="B75" s="14">
        <f>G17</f>
        <v>0.15684600056931397</v>
      </c>
      <c r="C75" s="24" t="s">
        <v>95</v>
      </c>
    </row>
    <row r="76" spans="1:8" x14ac:dyDescent="0.25">
      <c r="A76" s="11" t="s">
        <v>96</v>
      </c>
      <c r="B76" s="14" t="e">
        <f>#REF!</f>
        <v>#REF!</v>
      </c>
      <c r="C76" s="24" t="s">
        <v>97</v>
      </c>
    </row>
    <row r="77" spans="1:8" x14ac:dyDescent="0.25">
      <c r="A77" s="11" t="s">
        <v>98</v>
      </c>
      <c r="B77" s="14">
        <f>IFERROR(G17/#REF!,0)</f>
        <v>0</v>
      </c>
      <c r="C77" s="24" t="s">
        <v>99</v>
      </c>
    </row>
    <row r="78" spans="1:8" x14ac:dyDescent="0.25">
      <c r="A78" s="11" t="s">
        <v>100</v>
      </c>
      <c r="B78" s="15">
        <f>COUNTIF(E5:E16,"&lt;0")</f>
        <v>5</v>
      </c>
      <c r="C78" s="24" t="s">
        <v>101</v>
      </c>
    </row>
    <row r="79" spans="1:8" x14ac:dyDescent="0.25">
      <c r="A79" s="11" t="s">
        <v>20</v>
      </c>
      <c r="B79" s="12">
        <f>C17/365</f>
        <v>16.230136986301371</v>
      </c>
      <c r="C79" s="24" t="s">
        <v>102</v>
      </c>
    </row>
    <row r="80" spans="1:8" x14ac:dyDescent="0.25">
      <c r="A80" s="11" t="s">
        <v>21</v>
      </c>
      <c r="B80" s="13" t="str">
        <f>INDEX(A38:A43,MATCH(MAX(B38:B43),B38:B43,0))</f>
        <v>FINANSE I OSZCZĘDNOŚCI</v>
      </c>
      <c r="C80" s="24"/>
    </row>
    <row r="81" spans="1:8" x14ac:dyDescent="0.25">
      <c r="A81" s="11" t="s">
        <v>22</v>
      </c>
      <c r="B81" s="14">
        <f>IFERROR(MAX(B38:B43)/B44,0)</f>
        <v>0.57454754380925022</v>
      </c>
      <c r="C81" s="24" t="s">
        <v>103</v>
      </c>
    </row>
    <row r="82" spans="1:8" x14ac:dyDescent="0.25">
      <c r="A82" s="11" t="s">
        <v>104</v>
      </c>
      <c r="B82" s="12">
        <f>D17</f>
        <v>8000</v>
      </c>
      <c r="C82" s="24"/>
    </row>
    <row r="83" spans="1:8" x14ac:dyDescent="0.25">
      <c r="A83" s="11" t="s">
        <v>105</v>
      </c>
      <c r="B83" s="12">
        <f>E17</f>
        <v>-6898</v>
      </c>
      <c r="C83" s="24" t="s">
        <v>106</v>
      </c>
    </row>
    <row r="84" spans="1:8" x14ac:dyDescent="0.25">
      <c r="A84" s="11" t="s">
        <v>107</v>
      </c>
      <c r="B84" s="25">
        <f>IFERROR((D17+E17)/(C17/12),0)</f>
        <v>2.2322754895340986</v>
      </c>
      <c r="C84" s="24" t="s">
        <v>108</v>
      </c>
    </row>
    <row r="85" spans="1:8" x14ac:dyDescent="0.25">
      <c r="A85" s="11" t="s">
        <v>109</v>
      </c>
      <c r="B85" s="14">
        <f>IFERROR((D17+E17)/#REF!,0)</f>
        <v>0</v>
      </c>
      <c r="C85" s="24" t="s">
        <v>110</v>
      </c>
    </row>
    <row r="86" spans="1:8" x14ac:dyDescent="0.25">
      <c r="A86" s="11" t="s">
        <v>111</v>
      </c>
      <c r="B86" s="12">
        <f>(D17+E17)*5</f>
        <v>5510</v>
      </c>
      <c r="C86" s="24" t="s">
        <v>112</v>
      </c>
    </row>
    <row r="87" spans="1:8" x14ac:dyDescent="0.25">
      <c r="A87" s="11" t="s">
        <v>113</v>
      </c>
      <c r="B87" s="12">
        <f>FV(0.07,5,-(D17+E17),0,0)</f>
        <v>6337.3143890200026</v>
      </c>
      <c r="C87" s="24" t="s">
        <v>114</v>
      </c>
    </row>
    <row r="88" spans="1:8" x14ac:dyDescent="0.25">
      <c r="A88" s="11" t="s">
        <v>115</v>
      </c>
      <c r="B88" s="15">
        <f>COUNTIF($S$4:$S$50,"&gt;0")</f>
        <v>13</v>
      </c>
      <c r="C88" s="24" t="s">
        <v>116</v>
      </c>
    </row>
    <row r="89" spans="1:8" x14ac:dyDescent="0.25">
      <c r="A89" s="11" t="s">
        <v>117</v>
      </c>
      <c r="B89" s="15">
        <f>COUNTIF($S$4:$S$50,0)</f>
        <v>34</v>
      </c>
      <c r="C89" s="24" t="s">
        <v>118</v>
      </c>
    </row>
    <row r="91" spans="1:8" ht="19.5" customHeight="1" x14ac:dyDescent="0.25">
      <c r="A91" s="51" t="s">
        <v>119</v>
      </c>
      <c r="B91" s="51"/>
      <c r="C91" s="51"/>
      <c r="D91" s="51"/>
      <c r="E91" s="51"/>
      <c r="F91" s="51"/>
      <c r="G91" s="51"/>
      <c r="H91" s="51"/>
    </row>
    <row r="92" spans="1:8" ht="28.5" x14ac:dyDescent="0.25">
      <c r="A92" s="3" t="s">
        <v>35</v>
      </c>
      <c r="B92" s="3" t="s">
        <v>120</v>
      </c>
      <c r="C92" s="3" t="s">
        <v>121</v>
      </c>
      <c r="D92" s="3" t="s">
        <v>122</v>
      </c>
      <c r="E92" s="3" t="s">
        <v>123</v>
      </c>
      <c r="F92" s="3" t="s">
        <v>124</v>
      </c>
      <c r="G92" s="3" t="s">
        <v>125</v>
      </c>
      <c r="H92" s="3"/>
    </row>
    <row r="93" spans="1:8" x14ac:dyDescent="0.25">
      <c r="A93" s="11" t="s">
        <v>42</v>
      </c>
      <c r="B93" s="20" t="e">
        <f>#REF!</f>
        <v>#REF!</v>
      </c>
      <c r="C93" s="20" t="e">
        <f>#REF!</f>
        <v>#REF!</v>
      </c>
      <c r="D93" s="20" t="e">
        <f>#REF!</f>
        <v>#REF!</v>
      </c>
      <c r="E93" s="20" t="e">
        <f>#REF!</f>
        <v>#REF!</v>
      </c>
      <c r="F93" s="21" t="e">
        <f t="shared" ref="F93:F104" si="12">C93-B93</f>
        <v>#REF!</v>
      </c>
      <c r="G93" s="7">
        <f t="shared" ref="G93:G104" si="13">IFERROR(D93/C93,0)</f>
        <v>0</v>
      </c>
    </row>
    <row r="94" spans="1:8" x14ac:dyDescent="0.25">
      <c r="A94" s="11" t="s">
        <v>43</v>
      </c>
      <c r="B94" s="20" t="e">
        <f>#REF!</f>
        <v>#REF!</v>
      </c>
      <c r="C94" s="20" t="e">
        <f>#REF!</f>
        <v>#REF!</v>
      </c>
      <c r="D94" s="20" t="e">
        <f>#REF!</f>
        <v>#REF!</v>
      </c>
      <c r="E94" s="20" t="e">
        <f>#REF!</f>
        <v>#REF!</v>
      </c>
      <c r="F94" s="21" t="e">
        <f t="shared" si="12"/>
        <v>#REF!</v>
      </c>
      <c r="G94" s="7">
        <f t="shared" si="13"/>
        <v>0</v>
      </c>
    </row>
    <row r="95" spans="1:8" x14ac:dyDescent="0.25">
      <c r="A95" s="11" t="s">
        <v>44</v>
      </c>
      <c r="B95" s="20" t="e">
        <f>#REF!</f>
        <v>#REF!</v>
      </c>
      <c r="C95" s="20" t="e">
        <f>#REF!</f>
        <v>#REF!</v>
      </c>
      <c r="D95" s="20" t="e">
        <f>#REF!</f>
        <v>#REF!</v>
      </c>
      <c r="E95" s="20" t="e">
        <f>#REF!</f>
        <v>#REF!</v>
      </c>
      <c r="F95" s="21" t="e">
        <f t="shared" si="12"/>
        <v>#REF!</v>
      </c>
      <c r="G95" s="7">
        <f t="shared" si="13"/>
        <v>0</v>
      </c>
    </row>
    <row r="96" spans="1:8" x14ac:dyDescent="0.25">
      <c r="A96" s="11" t="s">
        <v>45</v>
      </c>
      <c r="B96" s="20" t="e">
        <f>#REF!</f>
        <v>#REF!</v>
      </c>
      <c r="C96" s="20" t="e">
        <f>#REF!</f>
        <v>#REF!</v>
      </c>
      <c r="D96" s="20" t="e">
        <f>#REF!</f>
        <v>#REF!</v>
      </c>
      <c r="E96" s="20" t="e">
        <f>#REF!</f>
        <v>#REF!</v>
      </c>
      <c r="F96" s="21" t="e">
        <f t="shared" si="12"/>
        <v>#REF!</v>
      </c>
      <c r="G96" s="7">
        <f t="shared" si="13"/>
        <v>0</v>
      </c>
    </row>
    <row r="97" spans="1:8" x14ac:dyDescent="0.25">
      <c r="A97" s="11" t="s">
        <v>46</v>
      </c>
      <c r="B97" s="20" t="e">
        <f>#REF!</f>
        <v>#REF!</v>
      </c>
      <c r="C97" s="20" t="e">
        <f>#REF!</f>
        <v>#REF!</v>
      </c>
      <c r="D97" s="20" t="e">
        <f>#REF!</f>
        <v>#REF!</v>
      </c>
      <c r="E97" s="20" t="e">
        <f>#REF!</f>
        <v>#REF!</v>
      </c>
      <c r="F97" s="21" t="e">
        <f t="shared" si="12"/>
        <v>#REF!</v>
      </c>
      <c r="G97" s="7">
        <f t="shared" si="13"/>
        <v>0</v>
      </c>
    </row>
    <row r="98" spans="1:8" x14ac:dyDescent="0.25">
      <c r="A98" s="11" t="s">
        <v>47</v>
      </c>
      <c r="B98" s="20" t="e">
        <f>#REF!</f>
        <v>#REF!</v>
      </c>
      <c r="C98" s="20" t="e">
        <f>#REF!</f>
        <v>#REF!</v>
      </c>
      <c r="D98" s="20" t="e">
        <f>#REF!</f>
        <v>#REF!</v>
      </c>
      <c r="E98" s="20" t="e">
        <f>#REF!</f>
        <v>#REF!</v>
      </c>
      <c r="F98" s="21" t="e">
        <f t="shared" si="12"/>
        <v>#REF!</v>
      </c>
      <c r="G98" s="7">
        <f t="shared" si="13"/>
        <v>0</v>
      </c>
    </row>
    <row r="99" spans="1:8" x14ac:dyDescent="0.25">
      <c r="A99" s="11" t="s">
        <v>48</v>
      </c>
      <c r="B99" s="20" t="e">
        <f>#REF!</f>
        <v>#REF!</v>
      </c>
      <c r="C99" s="20" t="e">
        <f>#REF!</f>
        <v>#REF!</v>
      </c>
      <c r="D99" s="20" t="e">
        <f>#REF!</f>
        <v>#REF!</v>
      </c>
      <c r="E99" s="20" t="e">
        <f>#REF!</f>
        <v>#REF!</v>
      </c>
      <c r="F99" s="21" t="e">
        <f t="shared" si="12"/>
        <v>#REF!</v>
      </c>
      <c r="G99" s="7">
        <f t="shared" si="13"/>
        <v>0</v>
      </c>
    </row>
    <row r="100" spans="1:8" x14ac:dyDescent="0.25">
      <c r="A100" s="11" t="s">
        <v>49</v>
      </c>
      <c r="B100" s="20" t="e">
        <f>#REF!</f>
        <v>#REF!</v>
      </c>
      <c r="C100" s="20" t="e">
        <f>#REF!</f>
        <v>#REF!</v>
      </c>
      <c r="D100" s="20" t="e">
        <f>#REF!</f>
        <v>#REF!</v>
      </c>
      <c r="E100" s="20" t="e">
        <f>#REF!</f>
        <v>#REF!</v>
      </c>
      <c r="F100" s="21" t="e">
        <f t="shared" si="12"/>
        <v>#REF!</v>
      </c>
      <c r="G100" s="7">
        <f t="shared" si="13"/>
        <v>0</v>
      </c>
    </row>
    <row r="101" spans="1:8" x14ac:dyDescent="0.25">
      <c r="A101" s="11" t="s">
        <v>50</v>
      </c>
      <c r="B101" s="20" t="e">
        <f>#REF!</f>
        <v>#REF!</v>
      </c>
      <c r="C101" s="20" t="e">
        <f>#REF!</f>
        <v>#REF!</v>
      </c>
      <c r="D101" s="20" t="e">
        <f>#REF!</f>
        <v>#REF!</v>
      </c>
      <c r="E101" s="20" t="e">
        <f>#REF!</f>
        <v>#REF!</v>
      </c>
      <c r="F101" s="21" t="e">
        <f t="shared" si="12"/>
        <v>#REF!</v>
      </c>
      <c r="G101" s="7">
        <f t="shared" si="13"/>
        <v>0</v>
      </c>
    </row>
    <row r="102" spans="1:8" x14ac:dyDescent="0.25">
      <c r="A102" s="11" t="s">
        <v>51</v>
      </c>
      <c r="B102" s="20" t="e">
        <f>#REF!</f>
        <v>#REF!</v>
      </c>
      <c r="C102" s="20" t="e">
        <f>#REF!</f>
        <v>#REF!</v>
      </c>
      <c r="D102" s="20" t="e">
        <f>#REF!</f>
        <v>#REF!</v>
      </c>
      <c r="E102" s="20" t="e">
        <f>#REF!</f>
        <v>#REF!</v>
      </c>
      <c r="F102" s="21" t="e">
        <f t="shared" si="12"/>
        <v>#REF!</v>
      </c>
      <c r="G102" s="7">
        <f t="shared" si="13"/>
        <v>0</v>
      </c>
    </row>
    <row r="103" spans="1:8" x14ac:dyDescent="0.25">
      <c r="A103" s="11" t="s">
        <v>53</v>
      </c>
      <c r="B103" s="20" t="e">
        <f>#REF!</f>
        <v>#REF!</v>
      </c>
      <c r="C103" s="20" t="e">
        <f>#REF!</f>
        <v>#REF!</v>
      </c>
      <c r="D103" s="20" t="e">
        <f>#REF!</f>
        <v>#REF!</v>
      </c>
      <c r="E103" s="20" t="e">
        <f>#REF!</f>
        <v>#REF!</v>
      </c>
      <c r="F103" s="21" t="e">
        <f t="shared" si="12"/>
        <v>#REF!</v>
      </c>
      <c r="G103" s="7">
        <f t="shared" si="13"/>
        <v>0</v>
      </c>
    </row>
    <row r="104" spans="1:8" x14ac:dyDescent="0.25">
      <c r="A104" s="11" t="s">
        <v>54</v>
      </c>
      <c r="B104" s="20" t="e">
        <f>#REF!</f>
        <v>#REF!</v>
      </c>
      <c r="C104" s="20" t="e">
        <f>#REF!</f>
        <v>#REF!</v>
      </c>
      <c r="D104" s="20" t="e">
        <f>#REF!</f>
        <v>#REF!</v>
      </c>
      <c r="E104" s="20" t="e">
        <f>#REF!</f>
        <v>#REF!</v>
      </c>
      <c r="F104" s="21" t="e">
        <f t="shared" si="12"/>
        <v>#REF!</v>
      </c>
      <c r="G104" s="7">
        <f t="shared" si="13"/>
        <v>0</v>
      </c>
    </row>
    <row r="105" spans="1:8" x14ac:dyDescent="0.25">
      <c r="A105" s="8" t="s">
        <v>69</v>
      </c>
      <c r="B105" s="9" t="e">
        <f>SUM(B93:B104)</f>
        <v>#REF!</v>
      </c>
      <c r="C105" s="8" t="s">
        <v>126</v>
      </c>
      <c r="D105" s="9" t="e">
        <f>SUM(D93:D104)</f>
        <v>#REF!</v>
      </c>
      <c r="E105" s="9" t="e">
        <f>E104</f>
        <v>#REF!</v>
      </c>
      <c r="F105" s="9" t="e">
        <f>SUM(F93:F104)</f>
        <v>#REF!</v>
      </c>
      <c r="G105" s="10">
        <f>IFERROR(D105/(B105+F105),0)</f>
        <v>0</v>
      </c>
    </row>
    <row r="106" spans="1:8" x14ac:dyDescent="0.25">
      <c r="A106" s="17" t="s">
        <v>127</v>
      </c>
    </row>
    <row r="107" spans="1:8" ht="19.5" customHeight="1" x14ac:dyDescent="0.25">
      <c r="A107" s="51" t="s">
        <v>128</v>
      </c>
      <c r="B107" s="51"/>
      <c r="C107" s="51"/>
      <c r="D107" s="51"/>
      <c r="E107" s="51"/>
      <c r="F107" s="51"/>
      <c r="G107" s="51"/>
      <c r="H107" s="51"/>
    </row>
    <row r="108" spans="1:8" x14ac:dyDescent="0.25">
      <c r="A108" s="3" t="s">
        <v>61</v>
      </c>
      <c r="B108" s="3" t="s">
        <v>73</v>
      </c>
      <c r="C108" s="3" t="s">
        <v>129</v>
      </c>
      <c r="D108" s="3" t="s">
        <v>130</v>
      </c>
      <c r="E108" s="3"/>
      <c r="F108" s="3"/>
      <c r="G108" s="3"/>
      <c r="H108" s="3"/>
    </row>
    <row r="109" spans="1:8" x14ac:dyDescent="0.25">
      <c r="A109" s="11" t="s">
        <v>41</v>
      </c>
      <c r="B109" s="26" t="str">
        <f>'Budżet 2026'!B14</f>
        <v>Czynsz / Rata kredytu</v>
      </c>
      <c r="C109" s="6">
        <f>'Budżet 2026'!O14</f>
        <v>0</v>
      </c>
      <c r="D109" s="11" t="str">
        <f t="shared" ref="D109:D155" si="14">IF(C109&gt;0,"wypełnione","— do uzupełnienia")</f>
        <v>— do uzupełnienia</v>
      </c>
    </row>
    <row r="110" spans="1:8" x14ac:dyDescent="0.25">
      <c r="A110" s="11" t="s">
        <v>41</v>
      </c>
      <c r="B110" s="26" t="str">
        <f>'Budżet 2026'!B15</f>
        <v>Czynsz administracyjny</v>
      </c>
      <c r="C110" s="6">
        <f>'Budżet 2026'!O15</f>
        <v>0</v>
      </c>
      <c r="D110" s="11" t="str">
        <f t="shared" si="14"/>
        <v>— do uzupełnienia</v>
      </c>
    </row>
    <row r="111" spans="1:8" x14ac:dyDescent="0.25">
      <c r="A111" s="11" t="s">
        <v>41</v>
      </c>
      <c r="B111" s="26" t="str">
        <f>'Budżet 2026'!B16</f>
        <v>Prąd</v>
      </c>
      <c r="C111" s="6">
        <f>'Budżet 2026'!O16</f>
        <v>271</v>
      </c>
      <c r="D111" s="11" t="str">
        <f t="shared" si="14"/>
        <v>wypełnione</v>
      </c>
    </row>
    <row r="112" spans="1:8" x14ac:dyDescent="0.25">
      <c r="A112" s="11" t="s">
        <v>41</v>
      </c>
      <c r="B112" s="26" t="str">
        <f>'Budżet 2026'!B17</f>
        <v>Woda i ścieki</v>
      </c>
      <c r="C112" s="6">
        <f>'Budżet 2026'!O17</f>
        <v>0</v>
      </c>
      <c r="D112" s="11" t="str">
        <f t="shared" si="14"/>
        <v>— do uzupełnienia</v>
      </c>
    </row>
    <row r="113" spans="1:4" x14ac:dyDescent="0.25">
      <c r="A113" s="11" t="s">
        <v>41</v>
      </c>
      <c r="B113" s="26" t="str">
        <f>'Budżet 2026'!B18</f>
        <v>Gaz</v>
      </c>
      <c r="C113" s="6">
        <f>'Budżet 2026'!O18</f>
        <v>200</v>
      </c>
      <c r="D113" s="11" t="str">
        <f t="shared" si="14"/>
        <v>wypełnione</v>
      </c>
    </row>
    <row r="114" spans="1:4" x14ac:dyDescent="0.25">
      <c r="A114" s="11" t="s">
        <v>41</v>
      </c>
      <c r="B114" s="26" t="str">
        <f>'Budżet 2026'!B19</f>
        <v>Ogrzewanie</v>
      </c>
      <c r="C114" s="6">
        <f>'Budżet 2026'!O19</f>
        <v>0</v>
      </c>
      <c r="D114" s="11" t="str">
        <f t="shared" si="14"/>
        <v>— do uzupełnienia</v>
      </c>
    </row>
    <row r="115" spans="1:4" x14ac:dyDescent="0.25">
      <c r="A115" s="11" t="s">
        <v>41</v>
      </c>
      <c r="B115" s="26" t="str">
        <f>'Budżet 2026'!B20</f>
        <v>Wywóz nieczystości</v>
      </c>
      <c r="C115" s="6">
        <f>'Budżet 2026'!O20</f>
        <v>0</v>
      </c>
      <c r="D115" s="11" t="str">
        <f t="shared" si="14"/>
        <v>— do uzupełnienia</v>
      </c>
    </row>
    <row r="116" spans="1:4" x14ac:dyDescent="0.25">
      <c r="A116" s="11" t="s">
        <v>41</v>
      </c>
      <c r="B116" s="26" t="str">
        <f>'Budżet 2026'!B21</f>
        <v>Internet / Wi-Fi</v>
      </c>
      <c r="C116" s="6">
        <f>'Budżet 2026'!O21</f>
        <v>385</v>
      </c>
      <c r="D116" s="11" t="str">
        <f t="shared" si="14"/>
        <v>wypełnione</v>
      </c>
    </row>
    <row r="117" spans="1:4" x14ac:dyDescent="0.25">
      <c r="A117" s="11" t="s">
        <v>41</v>
      </c>
      <c r="B117" s="26" t="str">
        <f>'Budżet 2026'!B22</f>
        <v>Telewizja</v>
      </c>
      <c r="C117" s="6">
        <f>'Budżet 2026'!O22</f>
        <v>0</v>
      </c>
      <c r="D117" s="11" t="str">
        <f t="shared" si="14"/>
        <v>— do uzupełnienia</v>
      </c>
    </row>
    <row r="118" spans="1:4" x14ac:dyDescent="0.25">
      <c r="A118" s="11" t="s">
        <v>41</v>
      </c>
      <c r="B118" s="26" t="str">
        <f>'Budżet 2026'!B23</f>
        <v>Ubezpieczenie nieruchomości</v>
      </c>
      <c r="C118" s="6">
        <f>'Budżet 2026'!O23</f>
        <v>0</v>
      </c>
      <c r="D118" s="11" t="str">
        <f t="shared" si="14"/>
        <v>— do uzupełnienia</v>
      </c>
    </row>
    <row r="119" spans="1:4" x14ac:dyDescent="0.25">
      <c r="A119" s="11" t="s">
        <v>41</v>
      </c>
      <c r="B119" s="26" t="str">
        <f>'Budżet 2026'!B24</f>
        <v>Serwis/Naprawy domowe</v>
      </c>
      <c r="C119" s="6">
        <f>'Budżet 2026'!O24</f>
        <v>0</v>
      </c>
      <c r="D119" s="11" t="str">
        <f t="shared" si="14"/>
        <v>— do uzupełnienia</v>
      </c>
    </row>
    <row r="120" spans="1:4" x14ac:dyDescent="0.25">
      <c r="A120" s="11" t="s">
        <v>41</v>
      </c>
      <c r="B120" s="26" t="str">
        <f>'Budżet 2026'!B25</f>
        <v>Środki czystości/Chemia</v>
      </c>
      <c r="C120" s="6">
        <f>'Budżet 2026'!O25</f>
        <v>0</v>
      </c>
      <c r="D120" s="11" t="str">
        <f t="shared" si="14"/>
        <v>— do uzupełnienia</v>
      </c>
    </row>
    <row r="121" spans="1:4" x14ac:dyDescent="0.25">
      <c r="A121" s="11" t="s">
        <v>55</v>
      </c>
      <c r="B121" s="26" t="str">
        <f>'Budżet 2026'!B29</f>
        <v>Paliwo</v>
      </c>
      <c r="C121" s="6">
        <f>'Budżet 2026'!O29</f>
        <v>0</v>
      </c>
      <c r="D121" s="11" t="str">
        <f t="shared" si="14"/>
        <v>— do uzupełnienia</v>
      </c>
    </row>
    <row r="122" spans="1:4" x14ac:dyDescent="0.25">
      <c r="A122" s="11" t="s">
        <v>55</v>
      </c>
      <c r="B122" s="26" t="str">
        <f>'Budżet 2026'!B30</f>
        <v>Rata kredytu/leasingu auta</v>
      </c>
      <c r="C122" s="6">
        <f>'Budżet 2026'!O30</f>
        <v>0</v>
      </c>
      <c r="D122" s="11" t="str">
        <f t="shared" si="14"/>
        <v>— do uzupełnienia</v>
      </c>
    </row>
    <row r="123" spans="1:4" x14ac:dyDescent="0.25">
      <c r="A123" s="11" t="s">
        <v>55</v>
      </c>
      <c r="B123" s="26" t="str">
        <f>'Budżet 2026'!B31</f>
        <v>Ubezpieczenie (OC/AC)</v>
      </c>
      <c r="C123" s="6">
        <f>'Budżet 2026'!O31</f>
        <v>0</v>
      </c>
      <c r="D123" s="11" t="str">
        <f t="shared" si="14"/>
        <v>— do uzupełnienia</v>
      </c>
    </row>
    <row r="124" spans="1:4" x14ac:dyDescent="0.25">
      <c r="A124" s="11" t="s">
        <v>55</v>
      </c>
      <c r="B124" s="26" t="str">
        <f>'Budżet 2026'!B32</f>
        <v>Przegląd techniczny / Serwis</v>
      </c>
      <c r="C124" s="6">
        <f>'Budżet 2026'!O32</f>
        <v>0</v>
      </c>
      <c r="D124" s="11" t="str">
        <f t="shared" si="14"/>
        <v>— do uzupełnienia</v>
      </c>
    </row>
    <row r="125" spans="1:4" x14ac:dyDescent="0.25">
      <c r="A125" s="11" t="s">
        <v>55</v>
      </c>
      <c r="B125" s="26" t="str">
        <f>'Budżet 2026'!B33</f>
        <v>Opony (wymiana/serwis)</v>
      </c>
      <c r="C125" s="6">
        <f>'Budżet 2026'!O33</f>
        <v>0</v>
      </c>
      <c r="D125" s="11" t="str">
        <f t="shared" si="14"/>
        <v>— do uzupełnienia</v>
      </c>
    </row>
    <row r="126" spans="1:4" x14ac:dyDescent="0.25">
      <c r="A126" s="11" t="s">
        <v>55</v>
      </c>
      <c r="B126" s="26" t="str">
        <f>'Budżet 2026'!B34</f>
        <v>Bilety komunikacji miejskiej / PKP</v>
      </c>
      <c r="C126" s="6">
        <f>'Budżet 2026'!O34</f>
        <v>50</v>
      </c>
      <c r="D126" s="11" t="str">
        <f t="shared" si="14"/>
        <v>wypełnione</v>
      </c>
    </row>
    <row r="127" spans="1:4" x14ac:dyDescent="0.25">
      <c r="A127" s="11" t="s">
        <v>55</v>
      </c>
      <c r="B127" s="26" t="str">
        <f>'Budżet 2026'!B35</f>
        <v>Taxi / Uber / Bolt</v>
      </c>
      <c r="C127" s="6">
        <f>'Budżet 2026'!O35</f>
        <v>0</v>
      </c>
      <c r="D127" s="11" t="str">
        <f t="shared" si="14"/>
        <v>— do uzupełnienia</v>
      </c>
    </row>
    <row r="128" spans="1:4" x14ac:dyDescent="0.25">
      <c r="A128" s="11" t="s">
        <v>55</v>
      </c>
      <c r="B128" s="26" t="str">
        <f>'Budżet 2026'!B36</f>
        <v>Parkingi / Autostrady</v>
      </c>
      <c r="C128" s="6">
        <f>'Budżet 2026'!O36</f>
        <v>0</v>
      </c>
      <c r="D128" s="11" t="str">
        <f t="shared" si="14"/>
        <v>— do uzupełnienia</v>
      </c>
    </row>
    <row r="129" spans="1:4" x14ac:dyDescent="0.25">
      <c r="A129" s="11" t="s">
        <v>55</v>
      </c>
      <c r="B129" s="26" t="str">
        <f>'Budżet 2026'!B37</f>
        <v>Akcesoria samochodowe</v>
      </c>
      <c r="C129" s="6">
        <f>'Budżet 2026'!O37</f>
        <v>0</v>
      </c>
      <c r="D129" s="11" t="str">
        <f t="shared" si="14"/>
        <v>— do uzupełnienia</v>
      </c>
    </row>
    <row r="130" spans="1:4" x14ac:dyDescent="0.25">
      <c r="A130" s="11" t="s">
        <v>58</v>
      </c>
      <c r="B130" s="26" t="str">
        <f>'Budżet 2026'!B41</f>
        <v>Zakupy spożywcze (market)</v>
      </c>
      <c r="C130" s="6">
        <f>'Budżet 2026'!O41</f>
        <v>500</v>
      </c>
      <c r="D130" s="11" t="str">
        <f t="shared" si="14"/>
        <v>wypełnione</v>
      </c>
    </row>
    <row r="131" spans="1:4" x14ac:dyDescent="0.25">
      <c r="A131" s="11" t="s">
        <v>58</v>
      </c>
      <c r="B131" s="26" t="str">
        <f>'Budżet 2026'!B42</f>
        <v>Jedzenie na mieście / Catering</v>
      </c>
      <c r="C131" s="6">
        <f>'Budżet 2026'!O42</f>
        <v>300</v>
      </c>
      <c r="D131" s="11" t="str">
        <f t="shared" si="14"/>
        <v>wypełnione</v>
      </c>
    </row>
    <row r="132" spans="1:4" x14ac:dyDescent="0.25">
      <c r="A132" s="11" t="s">
        <v>58</v>
      </c>
      <c r="B132" s="26" t="str">
        <f>'Budżet 2026'!B43</f>
        <v>Prywatne wizyty lekarskie</v>
      </c>
      <c r="C132" s="6">
        <f>'Budżet 2026'!O43</f>
        <v>2000</v>
      </c>
      <c r="D132" s="11" t="str">
        <f t="shared" si="14"/>
        <v>wypełnione</v>
      </c>
    </row>
    <row r="133" spans="1:4" x14ac:dyDescent="0.25">
      <c r="A133" s="11" t="s">
        <v>58</v>
      </c>
      <c r="B133" s="26" t="str">
        <f>'Budżet 2026'!B44</f>
        <v>Leki i suplementy</v>
      </c>
      <c r="C133" s="6">
        <f>'Budżet 2026'!O44</f>
        <v>0</v>
      </c>
      <c r="D133" s="11" t="str">
        <f t="shared" si="14"/>
        <v>— do uzupełnienia</v>
      </c>
    </row>
    <row r="134" spans="1:4" x14ac:dyDescent="0.25">
      <c r="A134" s="11" t="s">
        <v>58</v>
      </c>
      <c r="B134" s="26" t="str">
        <f>'Budżet 2026'!B45</f>
        <v>Dentysta</v>
      </c>
      <c r="C134" s="6">
        <f>'Budżet 2026'!O45</f>
        <v>0</v>
      </c>
      <c r="D134" s="11" t="str">
        <f t="shared" si="14"/>
        <v>— do uzupełnienia</v>
      </c>
    </row>
    <row r="135" spans="1:4" x14ac:dyDescent="0.25">
      <c r="A135" s="11" t="s">
        <v>58</v>
      </c>
      <c r="B135" s="26" t="str">
        <f>'Budżet 2026'!B46</f>
        <v>Karnet sportowy / Siłownia</v>
      </c>
      <c r="C135" s="6">
        <f>'Budżet 2026'!O46</f>
        <v>0</v>
      </c>
      <c r="D135" s="11" t="str">
        <f t="shared" si="14"/>
        <v>— do uzupełnienia</v>
      </c>
    </row>
    <row r="136" spans="1:4" x14ac:dyDescent="0.25">
      <c r="A136" s="11" t="s">
        <v>58</v>
      </c>
      <c r="B136" s="26" t="str">
        <f>'Budżet 2026'!B47</f>
        <v>Kosmetyczka / Fryzjer</v>
      </c>
      <c r="C136" s="6">
        <f>'Budżet 2026'!O47</f>
        <v>0</v>
      </c>
      <c r="D136" s="11" t="str">
        <f t="shared" si="14"/>
        <v>— do uzupełnienia</v>
      </c>
    </row>
    <row r="137" spans="1:4" x14ac:dyDescent="0.25">
      <c r="A137" s="11" t="s">
        <v>58</v>
      </c>
      <c r="B137" s="26" t="str">
        <f>'Budżet 2026'!B48</f>
        <v>Odzież i obuwie</v>
      </c>
      <c r="C137" s="6">
        <f>'Budżet 2026'!O48</f>
        <v>0</v>
      </c>
      <c r="D137" s="11" t="str">
        <f t="shared" si="14"/>
        <v>— do uzupełnienia</v>
      </c>
    </row>
    <row r="138" spans="1:4" x14ac:dyDescent="0.25">
      <c r="A138" s="11" t="s">
        <v>59</v>
      </c>
      <c r="B138" s="26" t="str">
        <f>'Budżet 2026'!B52</f>
        <v>Czesne za studia / Szkołę</v>
      </c>
      <c r="C138" s="6">
        <f>'Budżet 2026'!O52</f>
        <v>768</v>
      </c>
      <c r="D138" s="11" t="str">
        <f t="shared" si="14"/>
        <v>wypełnione</v>
      </c>
    </row>
    <row r="139" spans="1:4" x14ac:dyDescent="0.25">
      <c r="A139" s="11" t="s">
        <v>59</v>
      </c>
      <c r="B139" s="26" t="str">
        <f>'Budżet 2026'!B53</f>
        <v>Kursy online / Szkolenia</v>
      </c>
      <c r="C139" s="6">
        <f>'Budżet 2026'!O53</f>
        <v>0</v>
      </c>
      <c r="D139" s="11" t="str">
        <f t="shared" si="14"/>
        <v>— do uzupełnienia</v>
      </c>
    </row>
    <row r="140" spans="1:4" x14ac:dyDescent="0.25">
      <c r="A140" s="11" t="s">
        <v>59</v>
      </c>
      <c r="B140" s="26" t="str">
        <f>'Budżet 2026'!B54</f>
        <v>Książki / E-booki</v>
      </c>
      <c r="C140" s="6">
        <f>'Budżet 2026'!O54</f>
        <v>0</v>
      </c>
      <c r="D140" s="11" t="str">
        <f t="shared" si="14"/>
        <v>— do uzupełnienia</v>
      </c>
    </row>
    <row r="141" spans="1:4" x14ac:dyDescent="0.25">
      <c r="A141" s="11" t="s">
        <v>59</v>
      </c>
      <c r="B141" s="26" t="str">
        <f>'Budżet 2026'!B55</f>
        <v>Subskrypcje edukacyjne</v>
      </c>
      <c r="C141" s="6">
        <f>'Budżet 2026'!O55</f>
        <v>0</v>
      </c>
      <c r="D141" s="11" t="str">
        <f t="shared" si="14"/>
        <v>— do uzupełnienia</v>
      </c>
    </row>
    <row r="142" spans="1:4" x14ac:dyDescent="0.25">
      <c r="A142" s="11" t="s">
        <v>59</v>
      </c>
      <c r="B142" s="26" t="str">
        <f>'Budżet 2026'!B56</f>
        <v>Sprzęt edukacyjny (laptop, tablet)</v>
      </c>
      <c r="C142" s="6">
        <f>'Budżet 2026'!O56</f>
        <v>0</v>
      </c>
      <c r="D142" s="11" t="str">
        <f t="shared" si="14"/>
        <v>— do uzupełnienia</v>
      </c>
    </row>
    <row r="143" spans="1:4" x14ac:dyDescent="0.25">
      <c r="A143" s="11" t="s">
        <v>67</v>
      </c>
      <c r="B143" s="26" t="str">
        <f>'Budżet 2026'!B60</f>
        <v>Netflix / Disney+ / Spotify</v>
      </c>
      <c r="C143" s="6">
        <f>'Budżet 2026'!O60</f>
        <v>0</v>
      </c>
      <c r="D143" s="11" t="str">
        <f t="shared" si="14"/>
        <v>— do uzupełnienia</v>
      </c>
    </row>
    <row r="144" spans="1:4" x14ac:dyDescent="0.25">
      <c r="A144" s="11" t="s">
        <v>67</v>
      </c>
      <c r="B144" s="26" t="str">
        <f>'Budżet 2026'!B61</f>
        <v>Kino / Teatr / Koncerty</v>
      </c>
      <c r="C144" s="6">
        <f>'Budżet 2026'!O61</f>
        <v>100</v>
      </c>
      <c r="D144" s="11" t="str">
        <f t="shared" si="14"/>
        <v>wypełnione</v>
      </c>
    </row>
    <row r="145" spans="1:4" x14ac:dyDescent="0.25">
      <c r="A145" s="11" t="s">
        <v>67</v>
      </c>
      <c r="B145" s="26" t="str">
        <f>'Budżet 2026'!B62</f>
        <v>Hobby / Akcesoria</v>
      </c>
      <c r="C145" s="6">
        <f>'Budżet 2026'!O62</f>
        <v>0</v>
      </c>
      <c r="D145" s="11" t="str">
        <f t="shared" si="14"/>
        <v>— do uzupełnienia</v>
      </c>
    </row>
    <row r="146" spans="1:4" x14ac:dyDescent="0.25">
      <c r="A146" s="11" t="s">
        <v>67</v>
      </c>
      <c r="B146" s="26" t="str">
        <f>'Budżet 2026'!B63</f>
        <v>Zwierzęta (karma, weterynarz)</v>
      </c>
      <c r="C146" s="6">
        <f>'Budżet 2026'!O63</f>
        <v>0</v>
      </c>
      <c r="D146" s="11" t="str">
        <f t="shared" si="14"/>
        <v>— do uzupełnienia</v>
      </c>
    </row>
    <row r="147" spans="1:4" x14ac:dyDescent="0.25">
      <c r="A147" s="11" t="s">
        <v>67</v>
      </c>
      <c r="B147" s="26" t="str">
        <f>'Budżet 2026'!B64</f>
        <v>Dzieci (zajęcia, zabawki, kieszonkowe)</v>
      </c>
      <c r="C147" s="6">
        <f>'Budżet 2026'!O64</f>
        <v>50</v>
      </c>
      <c r="D147" s="11" t="str">
        <f t="shared" si="14"/>
        <v>wypełnione</v>
      </c>
    </row>
    <row r="148" spans="1:4" x14ac:dyDescent="0.25">
      <c r="A148" s="11" t="s">
        <v>67</v>
      </c>
      <c r="B148" s="26" t="str">
        <f>'Budżet 2026'!B65</f>
        <v>Prezenty</v>
      </c>
      <c r="C148" s="6">
        <f>'Budżet 2026'!O65</f>
        <v>0</v>
      </c>
      <c r="D148" s="11" t="str">
        <f t="shared" si="14"/>
        <v>— do uzupełnienia</v>
      </c>
    </row>
    <row r="149" spans="1:4" x14ac:dyDescent="0.25">
      <c r="A149" s="11" t="s">
        <v>67</v>
      </c>
      <c r="B149" s="26" t="str">
        <f>'Budżet 2026'!B66</f>
        <v>Wyjścia z przyjaciółmi</v>
      </c>
      <c r="C149" s="6">
        <f>'Budżet 2026'!O66</f>
        <v>300</v>
      </c>
      <c r="D149" s="11" t="str">
        <f t="shared" si="14"/>
        <v>wypełnione</v>
      </c>
    </row>
    <row r="150" spans="1:4" x14ac:dyDescent="0.25">
      <c r="A150" s="11" t="s">
        <v>67</v>
      </c>
      <c r="B150" s="26" t="str">
        <f>'Budżet 2026'!B67</f>
        <v>Inne nieprzewidziane</v>
      </c>
      <c r="C150" s="6">
        <f>'Budżet 2026'!O67</f>
        <v>1000</v>
      </c>
      <c r="D150" s="11" t="str">
        <f t="shared" si="14"/>
        <v>wypełnione</v>
      </c>
    </row>
    <row r="151" spans="1:4" x14ac:dyDescent="0.25">
      <c r="A151" s="11" t="s">
        <v>68</v>
      </c>
      <c r="B151" s="26" t="str">
        <f>'Budżet 2026'!B71</f>
        <v>Poduszka finansowa (Fundusz awaryjny)</v>
      </c>
      <c r="C151" s="6">
        <f>'Budżet 2026'!O71</f>
        <v>0</v>
      </c>
      <c r="D151" s="11" t="str">
        <f t="shared" si="14"/>
        <v>— do uzupełnienia</v>
      </c>
    </row>
    <row r="152" spans="1:4" x14ac:dyDescent="0.25">
      <c r="A152" s="11" t="s">
        <v>68</v>
      </c>
      <c r="B152" s="26" t="str">
        <f>'Budżet 2026'!B72</f>
        <v>Konto emerytalne (IKE/IKZE)</v>
      </c>
      <c r="C152" s="6">
        <f>'Budżet 2026'!O72</f>
        <v>0</v>
      </c>
      <c r="D152" s="11" t="str">
        <f t="shared" si="14"/>
        <v>— do uzupełnienia</v>
      </c>
    </row>
    <row r="153" spans="1:4" x14ac:dyDescent="0.25">
      <c r="A153" s="11" t="s">
        <v>68</v>
      </c>
      <c r="B153" s="26" t="str">
        <f>'Budżet 2026'!B73</f>
        <v>Inwestycje (Giełda/ETF)</v>
      </c>
      <c r="C153" s="6">
        <f>'Budżet 2026'!O73</f>
        <v>8000</v>
      </c>
      <c r="D153" s="11" t="str">
        <f t="shared" si="14"/>
        <v>wypełnione</v>
      </c>
    </row>
    <row r="154" spans="1:4" x14ac:dyDescent="0.25">
      <c r="A154" s="11" t="s">
        <v>68</v>
      </c>
      <c r="B154" s="26" t="str">
        <f>'Budżet 2026'!B74</f>
        <v>Oszczędności celowe (Wakacje)</v>
      </c>
      <c r="C154" s="6">
        <f>'Budżet 2026'!O74</f>
        <v>0</v>
      </c>
      <c r="D154" s="11" t="str">
        <f t="shared" si="14"/>
        <v>— do uzupełnienia</v>
      </c>
    </row>
    <row r="155" spans="1:4" x14ac:dyDescent="0.25">
      <c r="A155" s="11" t="s">
        <v>68</v>
      </c>
      <c r="B155" s="26" t="str">
        <f>'Budżet 2026'!B75</f>
        <v>Spłata długów (poza ratami)</v>
      </c>
      <c r="C155" s="6">
        <f>'Budżet 2026'!O75</f>
        <v>0</v>
      </c>
      <c r="D155" s="11" t="str">
        <f t="shared" si="14"/>
        <v>— do uzupełnienia</v>
      </c>
    </row>
  </sheetData>
  <mergeCells count="9">
    <mergeCell ref="A59:H59"/>
    <mergeCell ref="A65:H65"/>
    <mergeCell ref="A91:H91"/>
    <mergeCell ref="A107:H107"/>
    <mergeCell ref="A1:H1"/>
    <mergeCell ref="A3:H3"/>
    <mergeCell ref="A20:H20"/>
    <mergeCell ref="A36:H36"/>
    <mergeCell ref="A46:H46"/>
  </mergeCells>
  <conditionalFormatting sqref="C5:C16">
    <cfRule type="colorScale" priority="10">
      <colorScale>
        <cfvo type="min"/>
        <cfvo type="max"/>
        <color rgb="FFDCFCE7"/>
        <color rgb="FFFECACA"/>
      </colorScale>
    </cfRule>
  </conditionalFormatting>
  <conditionalFormatting sqref="D109:D155">
    <cfRule type="cellIs" dxfId="8" priority="11" operator="equal">
      <formula>"— do uzupełnienia"</formula>
    </cfRule>
  </conditionalFormatting>
  <conditionalFormatting sqref="E5:E16">
    <cfRule type="cellIs" dxfId="7" priority="2" operator="lessThan">
      <formula>0</formula>
    </cfRule>
    <cfRule type="cellIs" dxfId="6" priority="3" operator="greaterThan">
      <formula>0</formula>
    </cfRule>
  </conditionalFormatting>
  <conditionalFormatting sqref="E22:E33">
    <cfRule type="cellIs" dxfId="5" priority="4" operator="lessThan">
      <formula>0</formula>
    </cfRule>
    <cfRule type="cellIs" dxfId="4" priority="5" operator="greaterThan">
      <formula>0</formula>
    </cfRule>
  </conditionalFormatting>
  <conditionalFormatting sqref="H5:H16">
    <cfRule type="cellIs" dxfId="3" priority="6" operator="lessThan">
      <formula>0</formula>
    </cfRule>
    <cfRule type="cellIs" dxfId="2" priority="7" operator="greaterThan">
      <formula>0</formula>
    </cfRule>
  </conditionalFormatting>
  <conditionalFormatting sqref="H22:H33">
    <cfRule type="cellIs" dxfId="1" priority="8" operator="lessThan">
      <formula>0</formula>
    </cfRule>
    <cfRule type="cellIs" dxfId="0" priority="9" operator="greaterThan">
      <formula>0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81"/>
  <sheetViews>
    <sheetView zoomScaleNormal="100" workbookViewId="0">
      <pane xSplit="2" ySplit="1" topLeftCell="C56" activePane="bottomRight" state="frozen"/>
      <selection pane="topRight" activeCell="C1" sqref="C1"/>
      <selection pane="bottomLeft" activeCell="A3" sqref="A3"/>
      <selection pane="bottomRight" activeCell="J75" sqref="J75"/>
    </sheetView>
  </sheetViews>
  <sheetFormatPr defaultColWidth="8.7109375" defaultRowHeight="15" x14ac:dyDescent="0.25"/>
  <cols>
    <col min="1" max="1" width="25" customWidth="1"/>
    <col min="2" max="2" width="40" customWidth="1"/>
    <col min="3" max="15" width="27" customWidth="1"/>
  </cols>
  <sheetData>
    <row r="1" spans="1:15" ht="27.75" customHeight="1" x14ac:dyDescent="0.25">
      <c r="A1" s="27" t="s">
        <v>61</v>
      </c>
      <c r="B1" s="27" t="s">
        <v>131</v>
      </c>
      <c r="C1" s="27" t="s">
        <v>42</v>
      </c>
      <c r="D1" s="27" t="s">
        <v>43</v>
      </c>
      <c r="E1" s="27" t="s">
        <v>44</v>
      </c>
      <c r="F1" s="27" t="s">
        <v>45</v>
      </c>
      <c r="G1" s="27" t="s">
        <v>46</v>
      </c>
      <c r="H1" s="27" t="s">
        <v>47</v>
      </c>
      <c r="I1" s="27" t="s">
        <v>48</v>
      </c>
      <c r="J1" s="27" t="s">
        <v>49</v>
      </c>
      <c r="K1" s="27" t="s">
        <v>50</v>
      </c>
      <c r="L1" s="27" t="s">
        <v>51</v>
      </c>
      <c r="M1" s="27" t="s">
        <v>53</v>
      </c>
      <c r="N1" s="27" t="s">
        <v>54</v>
      </c>
      <c r="O1" s="27" t="s">
        <v>132</v>
      </c>
    </row>
    <row r="2" spans="1:15" ht="19.5" customHeight="1" x14ac:dyDescent="0.3">
      <c r="A2" s="16" t="s">
        <v>133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</row>
    <row r="3" spans="1:15" ht="18" customHeight="1" x14ac:dyDescent="0.25">
      <c r="A3" s="11" t="s">
        <v>133</v>
      </c>
      <c r="B3" s="11" t="s">
        <v>134</v>
      </c>
      <c r="C3" s="29"/>
      <c r="D3" s="29"/>
      <c r="E3" s="29"/>
      <c r="F3" s="29"/>
      <c r="G3" s="29"/>
      <c r="H3" s="29"/>
      <c r="I3" s="45"/>
      <c r="J3" s="29"/>
      <c r="K3" s="29"/>
      <c r="L3" s="29"/>
      <c r="M3" s="29"/>
      <c r="N3" s="29"/>
      <c r="O3" s="21">
        <f>SUM(C3:N3)</f>
        <v>0</v>
      </c>
    </row>
    <row r="4" spans="1:15" ht="18" customHeight="1" x14ac:dyDescent="0.25">
      <c r="A4" s="30" t="s">
        <v>133</v>
      </c>
      <c r="B4" s="30" t="s">
        <v>135</v>
      </c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21">
        <f t="shared" ref="O4:O10" si="0">SUM(C4:N4)</f>
        <v>0</v>
      </c>
    </row>
    <row r="5" spans="1:15" ht="18" customHeight="1" x14ac:dyDescent="0.25">
      <c r="A5" s="11" t="s">
        <v>133</v>
      </c>
      <c r="B5" s="11" t="s">
        <v>136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21">
        <f t="shared" si="0"/>
        <v>0</v>
      </c>
    </row>
    <row r="6" spans="1:15" ht="18" customHeight="1" x14ac:dyDescent="0.25">
      <c r="A6" s="30" t="s">
        <v>133</v>
      </c>
      <c r="B6" s="30" t="s">
        <v>137</v>
      </c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21">
        <f t="shared" si="0"/>
        <v>0</v>
      </c>
    </row>
    <row r="7" spans="1:15" ht="18" customHeight="1" x14ac:dyDescent="0.25">
      <c r="A7" s="11" t="s">
        <v>133</v>
      </c>
      <c r="B7" s="11" t="s">
        <v>138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21">
        <f t="shared" si="0"/>
        <v>0</v>
      </c>
    </row>
    <row r="8" spans="1:15" ht="18" customHeight="1" x14ac:dyDescent="0.25">
      <c r="A8" s="30" t="s">
        <v>133</v>
      </c>
      <c r="B8" s="30" t="s">
        <v>139</v>
      </c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21">
        <f t="shared" si="0"/>
        <v>0</v>
      </c>
    </row>
    <row r="9" spans="1:15" ht="18" customHeight="1" x14ac:dyDescent="0.25">
      <c r="A9" s="11" t="s">
        <v>133</v>
      </c>
      <c r="B9" s="11" t="s">
        <v>140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21">
        <f t="shared" si="0"/>
        <v>0</v>
      </c>
    </row>
    <row r="10" spans="1:15" ht="18" customHeight="1" x14ac:dyDescent="0.25">
      <c r="A10" s="30" t="s">
        <v>133</v>
      </c>
      <c r="B10" s="30" t="s">
        <v>141</v>
      </c>
      <c r="C10" s="31"/>
      <c r="D10" s="31"/>
      <c r="E10" s="31"/>
      <c r="F10" s="31"/>
      <c r="G10" s="31"/>
      <c r="H10" s="31"/>
      <c r="I10" s="45">
        <f>1100 + 2963</f>
        <v>4063</v>
      </c>
      <c r="J10" s="31">
        <v>2963</v>
      </c>
      <c r="K10" s="31"/>
      <c r="L10" s="31"/>
      <c r="M10" s="31"/>
      <c r="N10" s="31"/>
      <c r="O10" s="21">
        <f t="shared" si="0"/>
        <v>7026</v>
      </c>
    </row>
    <row r="11" spans="1:15" ht="19.5" customHeight="1" x14ac:dyDescent="0.25">
      <c r="A11" s="33" t="s">
        <v>133</v>
      </c>
      <c r="B11" s="33" t="s">
        <v>142</v>
      </c>
      <c r="C11" s="34">
        <f t="shared" ref="C11:O11" si="1">SUM(C3:C10)</f>
        <v>0</v>
      </c>
      <c r="D11" s="34">
        <f t="shared" si="1"/>
        <v>0</v>
      </c>
      <c r="E11" s="34">
        <f t="shared" si="1"/>
        <v>0</v>
      </c>
      <c r="F11" s="34">
        <f t="shared" si="1"/>
        <v>0</v>
      </c>
      <c r="G11" s="34">
        <f t="shared" si="1"/>
        <v>0</v>
      </c>
      <c r="H11" s="34">
        <f t="shared" si="1"/>
        <v>0</v>
      </c>
      <c r="I11" s="34">
        <f t="shared" si="1"/>
        <v>4063</v>
      </c>
      <c r="J11" s="34">
        <f t="shared" si="1"/>
        <v>2963</v>
      </c>
      <c r="K11" s="34">
        <f t="shared" si="1"/>
        <v>0</v>
      </c>
      <c r="L11" s="34">
        <f t="shared" si="1"/>
        <v>0</v>
      </c>
      <c r="M11" s="34">
        <f t="shared" si="1"/>
        <v>0</v>
      </c>
      <c r="N11" s="34">
        <f t="shared" si="1"/>
        <v>0</v>
      </c>
      <c r="O11" s="34">
        <f t="shared" si="1"/>
        <v>7026</v>
      </c>
    </row>
    <row r="13" spans="1:15" ht="19.5" customHeight="1" x14ac:dyDescent="0.3">
      <c r="A13" s="16" t="s">
        <v>41</v>
      </c>
      <c r="B13" s="28"/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</row>
    <row r="14" spans="1:15" ht="18" customHeight="1" x14ac:dyDescent="0.25">
      <c r="A14" s="11" t="s">
        <v>41</v>
      </c>
      <c r="B14" s="11" t="s">
        <v>143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21">
        <f>SUM(C14:N14)</f>
        <v>0</v>
      </c>
    </row>
    <row r="15" spans="1:15" ht="18" customHeight="1" x14ac:dyDescent="0.25">
      <c r="A15" s="30" t="s">
        <v>41</v>
      </c>
      <c r="B15" s="30" t="s">
        <v>144</v>
      </c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21">
        <f t="shared" ref="O15:O25" si="2">SUM(C15:N15)</f>
        <v>0</v>
      </c>
    </row>
    <row r="16" spans="1:15" ht="18" customHeight="1" x14ac:dyDescent="0.25">
      <c r="A16" s="11" t="s">
        <v>41</v>
      </c>
      <c r="B16" s="11" t="s">
        <v>145</v>
      </c>
      <c r="C16" s="6"/>
      <c r="D16" s="6"/>
      <c r="E16" s="6"/>
      <c r="F16" s="6"/>
      <c r="G16" s="6"/>
      <c r="H16" s="6"/>
      <c r="I16" s="6"/>
      <c r="J16" s="6">
        <v>271</v>
      </c>
      <c r="K16" s="6"/>
      <c r="L16" s="6"/>
      <c r="M16" s="6"/>
      <c r="N16" s="6"/>
      <c r="O16" s="21">
        <f t="shared" si="2"/>
        <v>271</v>
      </c>
    </row>
    <row r="17" spans="1:15" ht="18" customHeight="1" x14ac:dyDescent="0.25">
      <c r="A17" s="30" t="s">
        <v>41</v>
      </c>
      <c r="B17" s="30" t="s">
        <v>146</v>
      </c>
      <c r="C17" s="31"/>
      <c r="D17" s="35"/>
      <c r="E17" s="31"/>
      <c r="F17" s="35"/>
      <c r="G17" s="31"/>
      <c r="H17" s="35"/>
      <c r="I17" s="31"/>
      <c r="J17" s="35"/>
      <c r="K17" s="31"/>
      <c r="L17" s="35"/>
      <c r="M17" s="31"/>
      <c r="N17" s="35"/>
      <c r="O17" s="21">
        <f t="shared" si="2"/>
        <v>0</v>
      </c>
    </row>
    <row r="18" spans="1:15" ht="18" customHeight="1" x14ac:dyDescent="0.25">
      <c r="A18" s="11" t="s">
        <v>41</v>
      </c>
      <c r="B18" s="11" t="s">
        <v>147</v>
      </c>
      <c r="C18" s="29"/>
      <c r="D18" s="29"/>
      <c r="E18" s="29"/>
      <c r="F18" s="29"/>
      <c r="G18" s="29"/>
      <c r="H18" s="29"/>
      <c r="I18" s="45">
        <v>200</v>
      </c>
      <c r="J18" s="29"/>
      <c r="K18" s="29"/>
      <c r="L18" s="29"/>
      <c r="M18" s="29"/>
      <c r="N18" s="29"/>
      <c r="O18" s="21">
        <f t="shared" si="2"/>
        <v>200</v>
      </c>
    </row>
    <row r="19" spans="1:15" ht="18" customHeight="1" x14ac:dyDescent="0.25">
      <c r="A19" s="30" t="s">
        <v>41</v>
      </c>
      <c r="B19" s="30" t="s">
        <v>148</v>
      </c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21">
        <f t="shared" si="2"/>
        <v>0</v>
      </c>
    </row>
    <row r="20" spans="1:15" ht="18" customHeight="1" x14ac:dyDescent="0.25">
      <c r="A20" s="11" t="s">
        <v>41</v>
      </c>
      <c r="B20" s="11" t="s">
        <v>149</v>
      </c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21">
        <f t="shared" si="2"/>
        <v>0</v>
      </c>
    </row>
    <row r="21" spans="1:15" ht="18" customHeight="1" x14ac:dyDescent="0.25">
      <c r="A21" s="30" t="s">
        <v>41</v>
      </c>
      <c r="B21" s="30" t="s">
        <v>150</v>
      </c>
      <c r="C21" s="35"/>
      <c r="D21" s="35"/>
      <c r="E21" s="35"/>
      <c r="F21" s="35"/>
      <c r="G21" s="35"/>
      <c r="H21" s="35"/>
      <c r="I21" s="46">
        <v>110</v>
      </c>
      <c r="J21" s="35">
        <v>55</v>
      </c>
      <c r="K21" s="35">
        <v>55</v>
      </c>
      <c r="L21" s="35">
        <v>55</v>
      </c>
      <c r="M21" s="35">
        <v>55</v>
      </c>
      <c r="N21" s="35">
        <v>55</v>
      </c>
      <c r="O21" s="21">
        <f t="shared" si="2"/>
        <v>385</v>
      </c>
    </row>
    <row r="22" spans="1:15" ht="18" customHeight="1" x14ac:dyDescent="0.25">
      <c r="A22" s="11" t="s">
        <v>41</v>
      </c>
      <c r="B22" s="11" t="s">
        <v>151</v>
      </c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21">
        <f t="shared" si="2"/>
        <v>0</v>
      </c>
    </row>
    <row r="23" spans="1:15" ht="18" customHeight="1" x14ac:dyDescent="0.25">
      <c r="A23" s="30" t="s">
        <v>41</v>
      </c>
      <c r="B23" s="30" t="s">
        <v>152</v>
      </c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21">
        <f t="shared" si="2"/>
        <v>0</v>
      </c>
    </row>
    <row r="24" spans="1:15" ht="18" customHeight="1" x14ac:dyDescent="0.25">
      <c r="A24" s="11" t="s">
        <v>41</v>
      </c>
      <c r="B24" s="11" t="s">
        <v>153</v>
      </c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21">
        <f t="shared" si="2"/>
        <v>0</v>
      </c>
    </row>
    <row r="25" spans="1:15" ht="18" customHeight="1" x14ac:dyDescent="0.25">
      <c r="A25" s="30" t="s">
        <v>41</v>
      </c>
      <c r="B25" s="30" t="s">
        <v>154</v>
      </c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21">
        <f t="shared" si="2"/>
        <v>0</v>
      </c>
    </row>
    <row r="26" spans="1:15" ht="19.5" customHeight="1" x14ac:dyDescent="0.25">
      <c r="A26" s="33" t="s">
        <v>41</v>
      </c>
      <c r="B26" s="33" t="s">
        <v>155</v>
      </c>
      <c r="C26" s="34">
        <f t="shared" ref="C26:O26" si="3">SUM(C14:C25)</f>
        <v>0</v>
      </c>
      <c r="D26" s="34">
        <f t="shared" si="3"/>
        <v>0</v>
      </c>
      <c r="E26" s="34">
        <f t="shared" si="3"/>
        <v>0</v>
      </c>
      <c r="F26" s="34">
        <f t="shared" si="3"/>
        <v>0</v>
      </c>
      <c r="G26" s="34">
        <f t="shared" si="3"/>
        <v>0</v>
      </c>
      <c r="H26" s="34">
        <f t="shared" si="3"/>
        <v>0</v>
      </c>
      <c r="I26" s="34">
        <f t="shared" si="3"/>
        <v>310</v>
      </c>
      <c r="J26" s="34">
        <f t="shared" si="3"/>
        <v>326</v>
      </c>
      <c r="K26" s="34">
        <f t="shared" si="3"/>
        <v>55</v>
      </c>
      <c r="L26" s="34">
        <f t="shared" si="3"/>
        <v>55</v>
      </c>
      <c r="M26" s="34">
        <f t="shared" si="3"/>
        <v>55</v>
      </c>
      <c r="N26" s="34">
        <f t="shared" si="3"/>
        <v>55</v>
      </c>
      <c r="O26" s="34">
        <f t="shared" si="3"/>
        <v>856</v>
      </c>
    </row>
    <row r="28" spans="1:15" ht="19.5" customHeight="1" x14ac:dyDescent="0.3">
      <c r="A28" s="16" t="s">
        <v>55</v>
      </c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</row>
    <row r="29" spans="1:15" ht="18" customHeight="1" x14ac:dyDescent="0.25">
      <c r="A29" s="11" t="s">
        <v>55</v>
      </c>
      <c r="B29" s="11" t="s">
        <v>156</v>
      </c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21">
        <f>SUM(C29:N29)</f>
        <v>0</v>
      </c>
    </row>
    <row r="30" spans="1:15" ht="18" customHeight="1" x14ac:dyDescent="0.25">
      <c r="A30" s="30" t="s">
        <v>55</v>
      </c>
      <c r="B30" s="30" t="s">
        <v>157</v>
      </c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21">
        <f t="shared" ref="O30:O37" si="4">SUM(C30:N30)</f>
        <v>0</v>
      </c>
    </row>
    <row r="31" spans="1:15" ht="18" customHeight="1" x14ac:dyDescent="0.25">
      <c r="A31" s="11" t="s">
        <v>55</v>
      </c>
      <c r="B31" s="11" t="s">
        <v>158</v>
      </c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21">
        <f t="shared" si="4"/>
        <v>0</v>
      </c>
    </row>
    <row r="32" spans="1:15" ht="18" customHeight="1" x14ac:dyDescent="0.25">
      <c r="A32" s="30" t="s">
        <v>55</v>
      </c>
      <c r="B32" s="30" t="s">
        <v>159</v>
      </c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21">
        <f t="shared" si="4"/>
        <v>0</v>
      </c>
    </row>
    <row r="33" spans="1:15" ht="18" customHeight="1" x14ac:dyDescent="0.25">
      <c r="A33" s="11" t="s">
        <v>55</v>
      </c>
      <c r="B33" s="11" t="s">
        <v>160</v>
      </c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21">
        <f t="shared" si="4"/>
        <v>0</v>
      </c>
    </row>
    <row r="34" spans="1:15" ht="18" customHeight="1" x14ac:dyDescent="0.25">
      <c r="A34" s="30" t="s">
        <v>55</v>
      </c>
      <c r="B34" s="30" t="s">
        <v>161</v>
      </c>
      <c r="C34" s="35"/>
      <c r="D34" s="35"/>
      <c r="E34" s="35"/>
      <c r="F34" s="35"/>
      <c r="G34" s="35"/>
      <c r="H34" s="35"/>
      <c r="I34" s="46">
        <v>50</v>
      </c>
      <c r="J34" s="35"/>
      <c r="K34" s="35"/>
      <c r="L34" s="35"/>
      <c r="M34" s="35"/>
      <c r="N34" s="35"/>
      <c r="O34" s="21">
        <f t="shared" si="4"/>
        <v>50</v>
      </c>
    </row>
    <row r="35" spans="1:15" ht="18" customHeight="1" x14ac:dyDescent="0.25">
      <c r="A35" s="11" t="s">
        <v>55</v>
      </c>
      <c r="B35" s="11" t="s">
        <v>162</v>
      </c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21">
        <f t="shared" si="4"/>
        <v>0</v>
      </c>
    </row>
    <row r="36" spans="1:15" ht="18" customHeight="1" x14ac:dyDescent="0.25">
      <c r="A36" s="30" t="s">
        <v>55</v>
      </c>
      <c r="B36" s="30" t="s">
        <v>163</v>
      </c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21">
        <f t="shared" si="4"/>
        <v>0</v>
      </c>
    </row>
    <row r="37" spans="1:15" ht="18" customHeight="1" x14ac:dyDescent="0.25">
      <c r="A37" s="11" t="s">
        <v>55</v>
      </c>
      <c r="B37" s="11" t="s">
        <v>164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21">
        <f t="shared" si="4"/>
        <v>0</v>
      </c>
    </row>
    <row r="38" spans="1:15" ht="19.5" customHeight="1" x14ac:dyDescent="0.25">
      <c r="A38" s="33" t="s">
        <v>55</v>
      </c>
      <c r="B38" s="33" t="s">
        <v>165</v>
      </c>
      <c r="C38" s="34">
        <f t="shared" ref="C38:O38" si="5">SUM(C29:C37)</f>
        <v>0</v>
      </c>
      <c r="D38" s="34">
        <f t="shared" si="5"/>
        <v>0</v>
      </c>
      <c r="E38" s="34">
        <f t="shared" si="5"/>
        <v>0</v>
      </c>
      <c r="F38" s="34">
        <f t="shared" si="5"/>
        <v>0</v>
      </c>
      <c r="G38" s="34">
        <f t="shared" si="5"/>
        <v>0</v>
      </c>
      <c r="H38" s="34">
        <f t="shared" si="5"/>
        <v>0</v>
      </c>
      <c r="I38" s="34">
        <f t="shared" si="5"/>
        <v>50</v>
      </c>
      <c r="J38" s="34">
        <f t="shared" si="5"/>
        <v>0</v>
      </c>
      <c r="K38" s="34">
        <f t="shared" si="5"/>
        <v>0</v>
      </c>
      <c r="L38" s="34">
        <f t="shared" si="5"/>
        <v>0</v>
      </c>
      <c r="M38" s="34">
        <f t="shared" si="5"/>
        <v>0</v>
      </c>
      <c r="N38" s="34">
        <f t="shared" si="5"/>
        <v>0</v>
      </c>
      <c r="O38" s="34">
        <f t="shared" si="5"/>
        <v>50</v>
      </c>
    </row>
    <row r="40" spans="1:15" ht="19.5" customHeight="1" x14ac:dyDescent="0.3">
      <c r="A40" s="16" t="s">
        <v>58</v>
      </c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</row>
    <row r="41" spans="1:15" ht="18" customHeight="1" x14ac:dyDescent="0.25">
      <c r="A41" s="11" t="s">
        <v>58</v>
      </c>
      <c r="B41" s="11" t="s">
        <v>166</v>
      </c>
      <c r="C41" s="29"/>
      <c r="D41" s="29"/>
      <c r="E41" s="29"/>
      <c r="F41" s="29"/>
      <c r="G41" s="29"/>
      <c r="H41" s="29"/>
      <c r="I41" s="47">
        <v>500</v>
      </c>
      <c r="J41" s="29"/>
      <c r="K41" s="29"/>
      <c r="L41" s="29"/>
      <c r="M41" s="29"/>
      <c r="N41" s="29"/>
      <c r="O41" s="21">
        <f t="shared" ref="O41:O48" si="6">SUM(C41:N41)</f>
        <v>500</v>
      </c>
    </row>
    <row r="42" spans="1:15" ht="18" customHeight="1" x14ac:dyDescent="0.25">
      <c r="A42" s="30" t="s">
        <v>58</v>
      </c>
      <c r="B42" s="30" t="s">
        <v>167</v>
      </c>
      <c r="C42" s="35"/>
      <c r="D42" s="35"/>
      <c r="E42" s="35"/>
      <c r="F42" s="35"/>
      <c r="G42" s="35"/>
      <c r="H42" s="35"/>
      <c r="I42" s="35">
        <v>300</v>
      </c>
      <c r="J42" s="35"/>
      <c r="K42" s="35"/>
      <c r="L42" s="35"/>
      <c r="M42" s="35"/>
      <c r="N42" s="35"/>
      <c r="O42" s="21">
        <f t="shared" si="6"/>
        <v>300</v>
      </c>
    </row>
    <row r="43" spans="1:15" ht="18" customHeight="1" x14ac:dyDescent="0.25">
      <c r="A43" s="11" t="s">
        <v>58</v>
      </c>
      <c r="B43" s="11" t="s">
        <v>168</v>
      </c>
      <c r="C43" s="29"/>
      <c r="D43" s="29"/>
      <c r="E43" s="29"/>
      <c r="F43" s="29"/>
      <c r="G43" s="29"/>
      <c r="H43" s="29"/>
      <c r="I43" s="45">
        <v>2000</v>
      </c>
      <c r="J43" s="29"/>
      <c r="K43" s="29"/>
      <c r="L43" s="29"/>
      <c r="M43" s="29"/>
      <c r="N43" s="29"/>
      <c r="O43" s="21">
        <f t="shared" si="6"/>
        <v>2000</v>
      </c>
    </row>
    <row r="44" spans="1:15" ht="18" customHeight="1" x14ac:dyDescent="0.25">
      <c r="A44" s="30" t="s">
        <v>58</v>
      </c>
      <c r="B44" s="30" t="s">
        <v>169</v>
      </c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21">
        <f t="shared" si="6"/>
        <v>0</v>
      </c>
    </row>
    <row r="45" spans="1:15" ht="18" customHeight="1" x14ac:dyDescent="0.25">
      <c r="A45" s="11" t="s">
        <v>58</v>
      </c>
      <c r="B45" s="11" t="s">
        <v>170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21">
        <f t="shared" si="6"/>
        <v>0</v>
      </c>
    </row>
    <row r="46" spans="1:15" ht="18" customHeight="1" x14ac:dyDescent="0.25">
      <c r="A46" s="30" t="s">
        <v>58</v>
      </c>
      <c r="B46" s="30" t="s">
        <v>171</v>
      </c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21">
        <f t="shared" si="6"/>
        <v>0</v>
      </c>
    </row>
    <row r="47" spans="1:15" ht="18" customHeight="1" x14ac:dyDescent="0.25">
      <c r="A47" s="11" t="s">
        <v>58</v>
      </c>
      <c r="B47" s="11" t="s">
        <v>172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21">
        <f t="shared" si="6"/>
        <v>0</v>
      </c>
    </row>
    <row r="48" spans="1:15" ht="18" customHeight="1" x14ac:dyDescent="0.25">
      <c r="A48" s="30" t="s">
        <v>58</v>
      </c>
      <c r="B48" s="30" t="s">
        <v>173</v>
      </c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21">
        <f t="shared" si="6"/>
        <v>0</v>
      </c>
    </row>
    <row r="49" spans="1:15" ht="19.5" customHeight="1" x14ac:dyDescent="0.25">
      <c r="A49" s="33" t="s">
        <v>58</v>
      </c>
      <c r="B49" s="33" t="s">
        <v>174</v>
      </c>
      <c r="C49" s="34">
        <f t="shared" ref="C49:O49" si="7">SUM(C41:C48)</f>
        <v>0</v>
      </c>
      <c r="D49" s="34">
        <f t="shared" si="7"/>
        <v>0</v>
      </c>
      <c r="E49" s="34">
        <f t="shared" si="7"/>
        <v>0</v>
      </c>
      <c r="F49" s="34">
        <f t="shared" si="7"/>
        <v>0</v>
      </c>
      <c r="G49" s="34">
        <f t="shared" si="7"/>
        <v>0</v>
      </c>
      <c r="H49" s="34">
        <f t="shared" si="7"/>
        <v>0</v>
      </c>
      <c r="I49" s="34">
        <f t="shared" si="7"/>
        <v>2800</v>
      </c>
      <c r="J49" s="34">
        <f t="shared" si="7"/>
        <v>0</v>
      </c>
      <c r="K49" s="34">
        <f t="shared" si="7"/>
        <v>0</v>
      </c>
      <c r="L49" s="34">
        <f t="shared" si="7"/>
        <v>0</v>
      </c>
      <c r="M49" s="34">
        <f t="shared" si="7"/>
        <v>0</v>
      </c>
      <c r="N49" s="34">
        <f t="shared" si="7"/>
        <v>0</v>
      </c>
      <c r="O49" s="34">
        <f t="shared" si="7"/>
        <v>2800</v>
      </c>
    </row>
    <row r="51" spans="1:15" ht="19.5" customHeight="1" x14ac:dyDescent="0.3">
      <c r="A51" s="16" t="s">
        <v>59</v>
      </c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</row>
    <row r="52" spans="1:15" ht="18" customHeight="1" x14ac:dyDescent="0.25">
      <c r="A52" s="11" t="s">
        <v>59</v>
      </c>
      <c r="B52" s="11" t="s">
        <v>175</v>
      </c>
      <c r="C52" s="29"/>
      <c r="D52" s="29"/>
      <c r="E52" s="29"/>
      <c r="F52" s="29"/>
      <c r="G52" s="29"/>
      <c r="H52" s="29"/>
      <c r="I52" s="45">
        <v>768</v>
      </c>
      <c r="J52" s="29"/>
      <c r="K52" s="29"/>
      <c r="L52" s="29"/>
      <c r="M52" s="29"/>
      <c r="N52" s="29"/>
      <c r="O52" s="21">
        <f>SUM(C52:N52)</f>
        <v>768</v>
      </c>
    </row>
    <row r="53" spans="1:15" ht="18" customHeight="1" x14ac:dyDescent="0.25">
      <c r="A53" s="30" t="s">
        <v>59</v>
      </c>
      <c r="B53" s="30" t="s">
        <v>176</v>
      </c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21">
        <f t="shared" ref="O53:O56" si="8">SUM(C53:N53)</f>
        <v>0</v>
      </c>
    </row>
    <row r="54" spans="1:15" ht="18" customHeight="1" x14ac:dyDescent="0.25">
      <c r="A54" s="11" t="s">
        <v>59</v>
      </c>
      <c r="B54" s="11" t="s">
        <v>177</v>
      </c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21">
        <f t="shared" si="8"/>
        <v>0</v>
      </c>
    </row>
    <row r="55" spans="1:15" ht="18" customHeight="1" x14ac:dyDescent="0.25">
      <c r="A55" s="30" t="s">
        <v>59</v>
      </c>
      <c r="B55" s="30" t="s">
        <v>178</v>
      </c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21">
        <f t="shared" si="8"/>
        <v>0</v>
      </c>
    </row>
    <row r="56" spans="1:15" ht="18" customHeight="1" x14ac:dyDescent="0.25">
      <c r="A56" s="11" t="s">
        <v>59</v>
      </c>
      <c r="B56" s="11" t="s">
        <v>179</v>
      </c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21">
        <f t="shared" si="8"/>
        <v>0</v>
      </c>
    </row>
    <row r="57" spans="1:15" ht="19.5" customHeight="1" x14ac:dyDescent="0.25">
      <c r="A57" s="33" t="s">
        <v>59</v>
      </c>
      <c r="B57" s="33" t="s">
        <v>180</v>
      </c>
      <c r="C57" s="34">
        <f t="shared" ref="C57:O57" si="9">SUM(C52:C56)</f>
        <v>0</v>
      </c>
      <c r="D57" s="34">
        <f t="shared" si="9"/>
        <v>0</v>
      </c>
      <c r="E57" s="34">
        <f t="shared" si="9"/>
        <v>0</v>
      </c>
      <c r="F57" s="34">
        <f t="shared" si="9"/>
        <v>0</v>
      </c>
      <c r="G57" s="34">
        <f t="shared" si="9"/>
        <v>0</v>
      </c>
      <c r="H57" s="34">
        <f t="shared" si="9"/>
        <v>0</v>
      </c>
      <c r="I57" s="34">
        <f t="shared" si="9"/>
        <v>768</v>
      </c>
      <c r="J57" s="34">
        <f t="shared" si="9"/>
        <v>0</v>
      </c>
      <c r="K57" s="34">
        <f t="shared" si="9"/>
        <v>0</v>
      </c>
      <c r="L57" s="34">
        <f t="shared" si="9"/>
        <v>0</v>
      </c>
      <c r="M57" s="34">
        <f t="shared" si="9"/>
        <v>0</v>
      </c>
      <c r="N57" s="34">
        <f t="shared" si="9"/>
        <v>0</v>
      </c>
      <c r="O57" s="34">
        <f t="shared" si="9"/>
        <v>768</v>
      </c>
    </row>
    <row r="59" spans="1:15" ht="19.5" customHeight="1" x14ac:dyDescent="0.3">
      <c r="A59" s="16" t="s">
        <v>67</v>
      </c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</row>
    <row r="60" spans="1:15" ht="18" customHeight="1" x14ac:dyDescent="0.25">
      <c r="A60" s="11" t="s">
        <v>67</v>
      </c>
      <c r="B60" s="11" t="s">
        <v>181</v>
      </c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21">
        <f>SUM(C60:N60)</f>
        <v>0</v>
      </c>
    </row>
    <row r="61" spans="1:15" ht="18" customHeight="1" x14ac:dyDescent="0.25">
      <c r="A61" s="30" t="s">
        <v>67</v>
      </c>
      <c r="B61" s="30" t="s">
        <v>182</v>
      </c>
      <c r="C61" s="31"/>
      <c r="D61" s="31"/>
      <c r="E61" s="31"/>
      <c r="F61" s="31"/>
      <c r="G61" s="31"/>
      <c r="H61" s="31"/>
      <c r="I61" s="31">
        <v>100</v>
      </c>
      <c r="J61" s="31"/>
      <c r="K61" s="31"/>
      <c r="L61" s="31"/>
      <c r="M61" s="31"/>
      <c r="N61" s="31"/>
      <c r="O61" s="21">
        <f t="shared" ref="O61:O67" si="10">SUM(C61:N61)</f>
        <v>100</v>
      </c>
    </row>
    <row r="62" spans="1:15" ht="18" customHeight="1" x14ac:dyDescent="0.25">
      <c r="A62" s="11" t="s">
        <v>67</v>
      </c>
      <c r="B62" s="11" t="s">
        <v>183</v>
      </c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21">
        <f t="shared" si="10"/>
        <v>0</v>
      </c>
    </row>
    <row r="63" spans="1:15" ht="18" customHeight="1" x14ac:dyDescent="0.25">
      <c r="A63" s="30" t="s">
        <v>67</v>
      </c>
      <c r="B63" s="30" t="s">
        <v>184</v>
      </c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21">
        <f t="shared" si="10"/>
        <v>0</v>
      </c>
    </row>
    <row r="64" spans="1:15" ht="18" customHeight="1" x14ac:dyDescent="0.25">
      <c r="A64" s="11" t="s">
        <v>67</v>
      </c>
      <c r="B64" s="11" t="s">
        <v>185</v>
      </c>
      <c r="C64" s="6"/>
      <c r="D64" s="6"/>
      <c r="E64" s="6"/>
      <c r="F64" s="6"/>
      <c r="G64" s="6"/>
      <c r="H64" s="6"/>
      <c r="I64" s="6">
        <v>50</v>
      </c>
      <c r="J64" s="6"/>
      <c r="K64" s="6"/>
      <c r="L64" s="6"/>
      <c r="M64" s="6"/>
      <c r="N64" s="6"/>
      <c r="O64" s="21">
        <f t="shared" si="10"/>
        <v>50</v>
      </c>
    </row>
    <row r="65" spans="1:15" ht="18" customHeight="1" x14ac:dyDescent="0.25">
      <c r="A65" s="30" t="s">
        <v>67</v>
      </c>
      <c r="B65" s="30" t="s">
        <v>186</v>
      </c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21">
        <f t="shared" si="10"/>
        <v>0</v>
      </c>
    </row>
    <row r="66" spans="1:15" ht="18" customHeight="1" x14ac:dyDescent="0.25">
      <c r="A66" s="11" t="s">
        <v>67</v>
      </c>
      <c r="B66" s="11" t="s">
        <v>187</v>
      </c>
      <c r="C66" s="6"/>
      <c r="D66" s="6"/>
      <c r="E66" s="6"/>
      <c r="F66" s="6"/>
      <c r="G66" s="6"/>
      <c r="H66" s="6"/>
      <c r="I66" s="6">
        <v>300</v>
      </c>
      <c r="J66" s="6"/>
      <c r="K66" s="6"/>
      <c r="L66" s="6"/>
      <c r="M66" s="6"/>
      <c r="N66" s="6"/>
      <c r="O66" s="21">
        <f t="shared" si="10"/>
        <v>300</v>
      </c>
    </row>
    <row r="67" spans="1:15" ht="18" customHeight="1" x14ac:dyDescent="0.25">
      <c r="A67" s="30" t="s">
        <v>67</v>
      </c>
      <c r="B67" s="30" t="s">
        <v>188</v>
      </c>
      <c r="C67" s="35"/>
      <c r="D67" s="35"/>
      <c r="E67" s="35"/>
      <c r="F67" s="35"/>
      <c r="G67" s="35"/>
      <c r="H67" s="48"/>
      <c r="I67" s="48">
        <v>1000</v>
      </c>
      <c r="J67" s="35"/>
      <c r="K67" s="35"/>
      <c r="L67" s="35"/>
      <c r="M67" s="35"/>
      <c r="N67" s="35"/>
      <c r="O67" s="21">
        <f t="shared" si="10"/>
        <v>1000</v>
      </c>
    </row>
    <row r="68" spans="1:15" ht="19.5" customHeight="1" x14ac:dyDescent="0.25">
      <c r="A68" s="33" t="s">
        <v>67</v>
      </c>
      <c r="B68" s="33" t="s">
        <v>189</v>
      </c>
      <c r="C68" s="34">
        <f t="shared" ref="C68:O68" si="11">SUM(C60:C67)</f>
        <v>0</v>
      </c>
      <c r="D68" s="34">
        <f t="shared" si="11"/>
        <v>0</v>
      </c>
      <c r="E68" s="34">
        <f t="shared" si="11"/>
        <v>0</v>
      </c>
      <c r="F68" s="34">
        <f t="shared" si="11"/>
        <v>0</v>
      </c>
      <c r="G68" s="34">
        <f t="shared" si="11"/>
        <v>0</v>
      </c>
      <c r="H68" s="34">
        <f t="shared" si="11"/>
        <v>0</v>
      </c>
      <c r="I68" s="34">
        <f t="shared" si="11"/>
        <v>1450</v>
      </c>
      <c r="J68" s="34">
        <f t="shared" si="11"/>
        <v>0</v>
      </c>
      <c r="K68" s="34">
        <f t="shared" si="11"/>
        <v>0</v>
      </c>
      <c r="L68" s="34">
        <f t="shared" si="11"/>
        <v>0</v>
      </c>
      <c r="M68" s="34">
        <f t="shared" si="11"/>
        <v>0</v>
      </c>
      <c r="N68" s="34">
        <f t="shared" si="11"/>
        <v>0</v>
      </c>
      <c r="O68" s="34">
        <f t="shared" si="11"/>
        <v>1450</v>
      </c>
    </row>
    <row r="70" spans="1:15" ht="19.5" customHeight="1" x14ac:dyDescent="0.3">
      <c r="A70" s="16" t="s">
        <v>68</v>
      </c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</row>
    <row r="71" spans="1:15" ht="18" customHeight="1" x14ac:dyDescent="0.25">
      <c r="A71" s="11" t="s">
        <v>68</v>
      </c>
      <c r="B71" s="11" t="s">
        <v>190</v>
      </c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21">
        <f>SUM(C71:N71)</f>
        <v>0</v>
      </c>
    </row>
    <row r="72" spans="1:15" ht="18" customHeight="1" x14ac:dyDescent="0.25">
      <c r="A72" s="30" t="s">
        <v>68</v>
      </c>
      <c r="B72" s="30" t="s">
        <v>191</v>
      </c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21">
        <f t="shared" ref="O72:O75" si="12">SUM(C72:N72)</f>
        <v>0</v>
      </c>
    </row>
    <row r="73" spans="1:15" ht="18" customHeight="1" x14ac:dyDescent="0.25">
      <c r="A73" s="11" t="s">
        <v>68</v>
      </c>
      <c r="B73" s="11" t="s">
        <v>192</v>
      </c>
      <c r="C73" s="29"/>
      <c r="D73" s="29"/>
      <c r="E73" s="29"/>
      <c r="F73" s="29"/>
      <c r="G73" s="29"/>
      <c r="H73" s="29"/>
      <c r="I73" s="45">
        <v>8000</v>
      </c>
      <c r="J73" s="29"/>
      <c r="K73" s="29"/>
      <c r="L73" s="29"/>
      <c r="M73" s="29"/>
      <c r="N73" s="29"/>
      <c r="O73" s="21">
        <f t="shared" si="12"/>
        <v>8000</v>
      </c>
    </row>
    <row r="74" spans="1:15" ht="18" customHeight="1" x14ac:dyDescent="0.25">
      <c r="A74" s="30" t="s">
        <v>68</v>
      </c>
      <c r="B74" s="30" t="s">
        <v>193</v>
      </c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21">
        <f t="shared" si="12"/>
        <v>0</v>
      </c>
    </row>
    <row r="75" spans="1:15" ht="18" customHeight="1" x14ac:dyDescent="0.25">
      <c r="A75" s="11" t="s">
        <v>68</v>
      </c>
      <c r="B75" s="11" t="s">
        <v>194</v>
      </c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21">
        <f t="shared" si="12"/>
        <v>0</v>
      </c>
    </row>
    <row r="76" spans="1:15" ht="19.5" customHeight="1" x14ac:dyDescent="0.25">
      <c r="A76" s="33" t="s">
        <v>68</v>
      </c>
      <c r="B76" s="33" t="s">
        <v>195</v>
      </c>
      <c r="C76" s="34">
        <f t="shared" ref="C76:O76" si="13">SUM(C71:C75)</f>
        <v>0</v>
      </c>
      <c r="D76" s="34">
        <f t="shared" si="13"/>
        <v>0</v>
      </c>
      <c r="E76" s="34">
        <f t="shared" si="13"/>
        <v>0</v>
      </c>
      <c r="F76" s="34">
        <f t="shared" si="13"/>
        <v>0</v>
      </c>
      <c r="G76" s="34">
        <f t="shared" si="13"/>
        <v>0</v>
      </c>
      <c r="H76" s="34">
        <f t="shared" si="13"/>
        <v>0</v>
      </c>
      <c r="I76" s="34">
        <f t="shared" si="13"/>
        <v>8000</v>
      </c>
      <c r="J76" s="34">
        <f t="shared" si="13"/>
        <v>0</v>
      </c>
      <c r="K76" s="34">
        <f t="shared" si="13"/>
        <v>0</v>
      </c>
      <c r="L76" s="34">
        <f t="shared" si="13"/>
        <v>0</v>
      </c>
      <c r="M76" s="34">
        <f t="shared" si="13"/>
        <v>0</v>
      </c>
      <c r="N76" s="34">
        <f t="shared" si="13"/>
        <v>0</v>
      </c>
      <c r="O76" s="34">
        <f t="shared" si="13"/>
        <v>8000</v>
      </c>
    </row>
    <row r="78" spans="1:15" ht="16.5" customHeight="1" x14ac:dyDescent="0.3">
      <c r="A78" s="16" t="s">
        <v>196</v>
      </c>
      <c r="B78" s="16" t="s">
        <v>197</v>
      </c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</row>
    <row r="79" spans="1:15" x14ac:dyDescent="0.25">
      <c r="A79" s="36" t="s">
        <v>196</v>
      </c>
      <c r="B79" s="37" t="s">
        <v>198</v>
      </c>
      <c r="C79" s="38">
        <f t="shared" ref="C79:O79" si="14">C11</f>
        <v>0</v>
      </c>
      <c r="D79" s="38">
        <f t="shared" si="14"/>
        <v>0</v>
      </c>
      <c r="E79" s="38">
        <f t="shared" si="14"/>
        <v>0</v>
      </c>
      <c r="F79" s="38">
        <f t="shared" si="14"/>
        <v>0</v>
      </c>
      <c r="G79" s="38">
        <f t="shared" si="14"/>
        <v>0</v>
      </c>
      <c r="H79" s="38">
        <f t="shared" si="14"/>
        <v>0</v>
      </c>
      <c r="I79" s="38">
        <f t="shared" si="14"/>
        <v>4063</v>
      </c>
      <c r="J79" s="38">
        <f t="shared" si="14"/>
        <v>2963</v>
      </c>
      <c r="K79" s="38">
        <f t="shared" si="14"/>
        <v>0</v>
      </c>
      <c r="L79" s="38">
        <f t="shared" si="14"/>
        <v>0</v>
      </c>
      <c r="M79" s="38">
        <f t="shared" si="14"/>
        <v>0</v>
      </c>
      <c r="N79" s="38">
        <f t="shared" si="14"/>
        <v>0</v>
      </c>
      <c r="O79" s="38">
        <f t="shared" si="14"/>
        <v>7026</v>
      </c>
    </row>
    <row r="80" spans="1:15" x14ac:dyDescent="0.25">
      <c r="A80" s="39" t="s">
        <v>196</v>
      </c>
      <c r="B80" s="40" t="s">
        <v>199</v>
      </c>
      <c r="C80" s="41">
        <f t="shared" ref="C80:O80" si="15">C26+C38+C49+C57+C68+C76</f>
        <v>0</v>
      </c>
      <c r="D80" s="41">
        <f t="shared" si="15"/>
        <v>0</v>
      </c>
      <c r="E80" s="41">
        <f t="shared" si="15"/>
        <v>0</v>
      </c>
      <c r="F80" s="41">
        <f t="shared" si="15"/>
        <v>0</v>
      </c>
      <c r="G80" s="41">
        <f t="shared" si="15"/>
        <v>0</v>
      </c>
      <c r="H80" s="41">
        <f t="shared" si="15"/>
        <v>0</v>
      </c>
      <c r="I80" s="41">
        <f t="shared" si="15"/>
        <v>13378</v>
      </c>
      <c r="J80" s="41">
        <f t="shared" si="15"/>
        <v>326</v>
      </c>
      <c r="K80" s="41">
        <f t="shared" si="15"/>
        <v>55</v>
      </c>
      <c r="L80" s="41">
        <f t="shared" si="15"/>
        <v>55</v>
      </c>
      <c r="M80" s="41">
        <f t="shared" si="15"/>
        <v>55</v>
      </c>
      <c r="N80" s="41">
        <f t="shared" si="15"/>
        <v>55</v>
      </c>
      <c r="O80" s="41">
        <f t="shared" si="15"/>
        <v>13924</v>
      </c>
    </row>
    <row r="81" spans="1:15" ht="16.5" customHeight="1" x14ac:dyDescent="0.3">
      <c r="A81" s="42" t="s">
        <v>196</v>
      </c>
      <c r="B81" s="42" t="s">
        <v>200</v>
      </c>
      <c r="C81" s="43">
        <f t="shared" ref="C81:O81" si="16">C79-C80</f>
        <v>0</v>
      </c>
      <c r="D81" s="43">
        <f t="shared" si="16"/>
        <v>0</v>
      </c>
      <c r="E81" s="43">
        <f t="shared" si="16"/>
        <v>0</v>
      </c>
      <c r="F81" s="43">
        <f t="shared" si="16"/>
        <v>0</v>
      </c>
      <c r="G81" s="43">
        <f t="shared" si="16"/>
        <v>0</v>
      </c>
      <c r="H81" s="43">
        <f t="shared" si="16"/>
        <v>0</v>
      </c>
      <c r="I81" s="43">
        <f t="shared" si="16"/>
        <v>-9315</v>
      </c>
      <c r="J81" s="43">
        <f t="shared" si="16"/>
        <v>2637</v>
      </c>
      <c r="K81" s="43">
        <f t="shared" si="16"/>
        <v>-55</v>
      </c>
      <c r="L81" s="43">
        <f t="shared" si="16"/>
        <v>-55</v>
      </c>
      <c r="M81" s="43">
        <f t="shared" si="16"/>
        <v>-55</v>
      </c>
      <c r="N81" s="43">
        <f t="shared" si="16"/>
        <v>-55</v>
      </c>
      <c r="O81" s="43">
        <f t="shared" si="16"/>
        <v>-6898</v>
      </c>
    </row>
  </sheetData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81"/>
  <sheetViews>
    <sheetView tabSelected="1" zoomScaleNormal="100" workbookViewId="0">
      <pane xSplit="2" ySplit="1" topLeftCell="H46" activePane="bottomRight" state="frozen"/>
      <selection pane="topRight" activeCell="C1" sqref="C1"/>
      <selection pane="bottomLeft" activeCell="A2" sqref="A2"/>
      <selection pane="bottomRight" activeCell="A90" sqref="A90"/>
    </sheetView>
  </sheetViews>
  <sheetFormatPr defaultColWidth="8.7109375" defaultRowHeight="15" x14ac:dyDescent="0.25"/>
  <cols>
    <col min="1" max="1" width="25" customWidth="1"/>
    <col min="2" max="2" width="40" customWidth="1"/>
    <col min="3" max="15" width="27" customWidth="1"/>
  </cols>
  <sheetData>
    <row r="1" spans="1:15" ht="27.75" customHeight="1" x14ac:dyDescent="0.25">
      <c r="A1" s="27" t="s">
        <v>61</v>
      </c>
      <c r="B1" s="27" t="s">
        <v>131</v>
      </c>
      <c r="C1" s="27" t="s">
        <v>42</v>
      </c>
      <c r="D1" s="27" t="s">
        <v>43</v>
      </c>
      <c r="E1" s="27" t="s">
        <v>44</v>
      </c>
      <c r="F1" s="27" t="s">
        <v>45</v>
      </c>
      <c r="G1" s="27" t="s">
        <v>46</v>
      </c>
      <c r="H1" s="27" t="s">
        <v>47</v>
      </c>
      <c r="I1" s="27" t="s">
        <v>48</v>
      </c>
      <c r="J1" s="27" t="s">
        <v>49</v>
      </c>
      <c r="K1" s="27" t="s">
        <v>50</v>
      </c>
      <c r="L1" s="27" t="s">
        <v>51</v>
      </c>
      <c r="M1" s="27" t="s">
        <v>53</v>
      </c>
      <c r="N1" s="27" t="s">
        <v>54</v>
      </c>
      <c r="O1" s="27" t="s">
        <v>132</v>
      </c>
    </row>
    <row r="2" spans="1:15" ht="19.5" customHeight="1" x14ac:dyDescent="0.3">
      <c r="A2" s="16" t="s">
        <v>133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</row>
    <row r="3" spans="1:15" ht="18" customHeight="1" x14ac:dyDescent="0.25">
      <c r="A3" s="11" t="s">
        <v>133</v>
      </c>
      <c r="B3" s="11" t="s">
        <v>134</v>
      </c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1">
        <f>SUM(C3:N3)</f>
        <v>0</v>
      </c>
    </row>
    <row r="4" spans="1:15" ht="18" customHeight="1" x14ac:dyDescent="0.25">
      <c r="A4" s="30" t="s">
        <v>133</v>
      </c>
      <c r="B4" s="30" t="s">
        <v>135</v>
      </c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21">
        <f t="shared" ref="O4:O10" si="0">SUM(C4:N4)</f>
        <v>0</v>
      </c>
    </row>
    <row r="5" spans="1:15" ht="18" customHeight="1" x14ac:dyDescent="0.25">
      <c r="A5" s="11" t="s">
        <v>133</v>
      </c>
      <c r="B5" s="11" t="s">
        <v>136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21">
        <f t="shared" si="0"/>
        <v>0</v>
      </c>
    </row>
    <row r="6" spans="1:15" ht="18" customHeight="1" x14ac:dyDescent="0.25">
      <c r="A6" s="30" t="s">
        <v>133</v>
      </c>
      <c r="B6" s="30" t="s">
        <v>137</v>
      </c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21">
        <f t="shared" si="0"/>
        <v>0</v>
      </c>
    </row>
    <row r="7" spans="1:15" ht="18" customHeight="1" x14ac:dyDescent="0.25">
      <c r="A7" s="11" t="s">
        <v>133</v>
      </c>
      <c r="B7" s="11" t="s">
        <v>138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21">
        <f t="shared" si="0"/>
        <v>0</v>
      </c>
    </row>
    <row r="8" spans="1:15" ht="18" customHeight="1" x14ac:dyDescent="0.25">
      <c r="A8" s="30" t="s">
        <v>133</v>
      </c>
      <c r="B8" s="30" t="s">
        <v>139</v>
      </c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21">
        <f t="shared" si="0"/>
        <v>0</v>
      </c>
    </row>
    <row r="9" spans="1:15" ht="18" customHeight="1" x14ac:dyDescent="0.25">
      <c r="A9" s="11" t="s">
        <v>133</v>
      </c>
      <c r="B9" s="11" t="s">
        <v>140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21">
        <f t="shared" si="0"/>
        <v>0</v>
      </c>
    </row>
    <row r="10" spans="1:15" ht="18" customHeight="1" x14ac:dyDescent="0.25">
      <c r="A10" s="30" t="s">
        <v>133</v>
      </c>
      <c r="B10" s="30" t="s">
        <v>141</v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21">
        <f t="shared" si="0"/>
        <v>0</v>
      </c>
    </row>
    <row r="11" spans="1:15" ht="19.5" customHeight="1" thickBot="1" x14ac:dyDescent="0.3">
      <c r="A11" s="33" t="s">
        <v>133</v>
      </c>
      <c r="B11" s="33" t="s">
        <v>142</v>
      </c>
      <c r="C11" s="34">
        <f t="shared" ref="C11:O11" si="1">SUM(C3:C10)</f>
        <v>0</v>
      </c>
      <c r="D11" s="34">
        <f t="shared" si="1"/>
        <v>0</v>
      </c>
      <c r="E11" s="34">
        <f t="shared" si="1"/>
        <v>0</v>
      </c>
      <c r="F11" s="34">
        <f t="shared" si="1"/>
        <v>0</v>
      </c>
      <c r="G11" s="34">
        <f t="shared" si="1"/>
        <v>0</v>
      </c>
      <c r="H11" s="34">
        <f t="shared" si="1"/>
        <v>0</v>
      </c>
      <c r="I11" s="34">
        <f t="shared" si="1"/>
        <v>0</v>
      </c>
      <c r="J11" s="34">
        <f t="shared" si="1"/>
        <v>0</v>
      </c>
      <c r="K11" s="34">
        <f t="shared" si="1"/>
        <v>0</v>
      </c>
      <c r="L11" s="34">
        <f t="shared" si="1"/>
        <v>0</v>
      </c>
      <c r="M11" s="34">
        <f t="shared" si="1"/>
        <v>0</v>
      </c>
      <c r="N11" s="34">
        <f t="shared" si="1"/>
        <v>0</v>
      </c>
      <c r="O11" s="34">
        <f t="shared" si="1"/>
        <v>0</v>
      </c>
    </row>
    <row r="13" spans="1:15" ht="19.5" customHeight="1" x14ac:dyDescent="0.3">
      <c r="A13" s="16" t="s">
        <v>41</v>
      </c>
      <c r="B13" s="28"/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</row>
    <row r="14" spans="1:15" ht="18" customHeight="1" x14ac:dyDescent="0.25">
      <c r="A14" s="11" t="s">
        <v>41</v>
      </c>
      <c r="B14" s="11" t="s">
        <v>143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21">
        <f>SUM(C14:N14)</f>
        <v>0</v>
      </c>
    </row>
    <row r="15" spans="1:15" ht="18" customHeight="1" x14ac:dyDescent="0.25">
      <c r="A15" s="30" t="s">
        <v>41</v>
      </c>
      <c r="B15" s="30" t="s">
        <v>144</v>
      </c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21">
        <f t="shared" ref="O15:O25" si="2">SUM(C15:N15)</f>
        <v>0</v>
      </c>
    </row>
    <row r="16" spans="1:15" ht="18" customHeight="1" x14ac:dyDescent="0.25">
      <c r="A16" s="11" t="s">
        <v>41</v>
      </c>
      <c r="B16" s="11" t="s">
        <v>145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21">
        <f t="shared" si="2"/>
        <v>0</v>
      </c>
    </row>
    <row r="17" spans="1:15" ht="18" customHeight="1" x14ac:dyDescent="0.25">
      <c r="A17" s="30" t="s">
        <v>41</v>
      </c>
      <c r="B17" s="30" t="s">
        <v>146</v>
      </c>
      <c r="C17" s="31"/>
      <c r="D17" s="44"/>
      <c r="E17" s="31"/>
      <c r="F17" s="44"/>
      <c r="G17" s="31"/>
      <c r="H17" s="44"/>
      <c r="I17" s="31"/>
      <c r="J17" s="44"/>
      <c r="K17" s="31"/>
      <c r="L17" s="44"/>
      <c r="M17" s="31"/>
      <c r="N17" s="44"/>
      <c r="O17" s="21">
        <f t="shared" si="2"/>
        <v>0</v>
      </c>
    </row>
    <row r="18" spans="1:15" ht="18" customHeight="1" x14ac:dyDescent="0.25">
      <c r="A18" s="11" t="s">
        <v>41</v>
      </c>
      <c r="B18" s="11" t="s">
        <v>147</v>
      </c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1">
        <f t="shared" si="2"/>
        <v>0</v>
      </c>
    </row>
    <row r="19" spans="1:15" ht="18" customHeight="1" x14ac:dyDescent="0.25">
      <c r="A19" s="30" t="s">
        <v>41</v>
      </c>
      <c r="B19" s="30" t="s">
        <v>148</v>
      </c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21">
        <f t="shared" si="2"/>
        <v>0</v>
      </c>
    </row>
    <row r="20" spans="1:15" ht="18" customHeight="1" x14ac:dyDescent="0.25">
      <c r="A20" s="11" t="s">
        <v>41</v>
      </c>
      <c r="B20" s="11" t="s">
        <v>149</v>
      </c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21">
        <f t="shared" si="2"/>
        <v>0</v>
      </c>
    </row>
    <row r="21" spans="1:15" ht="18" customHeight="1" x14ac:dyDescent="0.25">
      <c r="A21" s="30" t="s">
        <v>41</v>
      </c>
      <c r="B21" s="30" t="s">
        <v>150</v>
      </c>
      <c r="C21" s="44"/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21">
        <f t="shared" si="2"/>
        <v>0</v>
      </c>
    </row>
    <row r="22" spans="1:15" ht="18" customHeight="1" x14ac:dyDescent="0.25">
      <c r="A22" s="11" t="s">
        <v>41</v>
      </c>
      <c r="B22" s="11" t="s">
        <v>151</v>
      </c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21">
        <f t="shared" si="2"/>
        <v>0</v>
      </c>
    </row>
    <row r="23" spans="1:15" ht="18" customHeight="1" x14ac:dyDescent="0.25">
      <c r="A23" s="30" t="s">
        <v>41</v>
      </c>
      <c r="B23" s="30" t="s">
        <v>152</v>
      </c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21">
        <f t="shared" si="2"/>
        <v>0</v>
      </c>
    </row>
    <row r="24" spans="1:15" ht="18" customHeight="1" x14ac:dyDescent="0.25">
      <c r="A24" s="11" t="s">
        <v>41</v>
      </c>
      <c r="B24" s="11" t="s">
        <v>153</v>
      </c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21">
        <f t="shared" si="2"/>
        <v>0</v>
      </c>
    </row>
    <row r="25" spans="1:15" ht="18" customHeight="1" x14ac:dyDescent="0.25">
      <c r="A25" s="30" t="s">
        <v>41</v>
      </c>
      <c r="B25" s="30" t="s">
        <v>154</v>
      </c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21">
        <f t="shared" si="2"/>
        <v>0</v>
      </c>
    </row>
    <row r="26" spans="1:15" ht="19.5" customHeight="1" thickBot="1" x14ac:dyDescent="0.3">
      <c r="A26" s="33" t="s">
        <v>41</v>
      </c>
      <c r="B26" s="33" t="s">
        <v>155</v>
      </c>
      <c r="C26" s="34">
        <f t="shared" ref="C26:O26" si="3">SUM(C14:C25)</f>
        <v>0</v>
      </c>
      <c r="D26" s="34">
        <f t="shared" si="3"/>
        <v>0</v>
      </c>
      <c r="E26" s="34">
        <f t="shared" si="3"/>
        <v>0</v>
      </c>
      <c r="F26" s="34">
        <f t="shared" si="3"/>
        <v>0</v>
      </c>
      <c r="G26" s="34">
        <f t="shared" si="3"/>
        <v>0</v>
      </c>
      <c r="H26" s="34">
        <f t="shared" si="3"/>
        <v>0</v>
      </c>
      <c r="I26" s="34">
        <f t="shared" si="3"/>
        <v>0</v>
      </c>
      <c r="J26" s="34">
        <f t="shared" si="3"/>
        <v>0</v>
      </c>
      <c r="K26" s="34">
        <f t="shared" si="3"/>
        <v>0</v>
      </c>
      <c r="L26" s="34">
        <f t="shared" si="3"/>
        <v>0</v>
      </c>
      <c r="M26" s="34">
        <f t="shared" si="3"/>
        <v>0</v>
      </c>
      <c r="N26" s="34">
        <f t="shared" si="3"/>
        <v>0</v>
      </c>
      <c r="O26" s="34">
        <f t="shared" si="3"/>
        <v>0</v>
      </c>
    </row>
    <row r="28" spans="1:15" ht="19.5" customHeight="1" x14ac:dyDescent="0.3">
      <c r="A28" s="16" t="s">
        <v>55</v>
      </c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</row>
    <row r="29" spans="1:15" ht="18" customHeight="1" x14ac:dyDescent="0.25">
      <c r="A29" s="11" t="s">
        <v>55</v>
      </c>
      <c r="B29" s="11" t="s">
        <v>156</v>
      </c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21">
        <f>SUM(C29:N29)</f>
        <v>0</v>
      </c>
    </row>
    <row r="30" spans="1:15" ht="18" customHeight="1" x14ac:dyDescent="0.25">
      <c r="A30" s="30" t="s">
        <v>55</v>
      </c>
      <c r="B30" s="30" t="s">
        <v>157</v>
      </c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21">
        <f t="shared" ref="O30:O37" si="4">SUM(C30:N30)</f>
        <v>0</v>
      </c>
    </row>
    <row r="31" spans="1:15" ht="18" customHeight="1" x14ac:dyDescent="0.25">
      <c r="A31" s="11" t="s">
        <v>55</v>
      </c>
      <c r="B31" s="11" t="s">
        <v>158</v>
      </c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21">
        <f t="shared" si="4"/>
        <v>0</v>
      </c>
    </row>
    <row r="32" spans="1:15" ht="18" customHeight="1" x14ac:dyDescent="0.25">
      <c r="A32" s="30" t="s">
        <v>55</v>
      </c>
      <c r="B32" s="30" t="s">
        <v>159</v>
      </c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21">
        <f t="shared" si="4"/>
        <v>0</v>
      </c>
    </row>
    <row r="33" spans="1:15" ht="18" customHeight="1" x14ac:dyDescent="0.25">
      <c r="A33" s="11" t="s">
        <v>55</v>
      </c>
      <c r="B33" s="11" t="s">
        <v>160</v>
      </c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21">
        <f t="shared" si="4"/>
        <v>0</v>
      </c>
    </row>
    <row r="34" spans="1:15" ht="18" customHeight="1" x14ac:dyDescent="0.25">
      <c r="A34" s="30" t="s">
        <v>55</v>
      </c>
      <c r="B34" s="30" t="s">
        <v>161</v>
      </c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21">
        <f t="shared" si="4"/>
        <v>0</v>
      </c>
    </row>
    <row r="35" spans="1:15" ht="18" customHeight="1" x14ac:dyDescent="0.25">
      <c r="A35" s="11" t="s">
        <v>55</v>
      </c>
      <c r="B35" s="11" t="s">
        <v>162</v>
      </c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21">
        <f t="shared" si="4"/>
        <v>0</v>
      </c>
    </row>
    <row r="36" spans="1:15" ht="18" customHeight="1" x14ac:dyDescent="0.25">
      <c r="A36" s="30" t="s">
        <v>55</v>
      </c>
      <c r="B36" s="30" t="s">
        <v>163</v>
      </c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21">
        <f t="shared" si="4"/>
        <v>0</v>
      </c>
    </row>
    <row r="37" spans="1:15" ht="18" customHeight="1" x14ac:dyDescent="0.25">
      <c r="A37" s="11" t="s">
        <v>55</v>
      </c>
      <c r="B37" s="11" t="s">
        <v>164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21">
        <f t="shared" si="4"/>
        <v>0</v>
      </c>
    </row>
    <row r="38" spans="1:15" ht="19.5" customHeight="1" thickBot="1" x14ac:dyDescent="0.3">
      <c r="A38" s="33" t="s">
        <v>55</v>
      </c>
      <c r="B38" s="33" t="s">
        <v>165</v>
      </c>
      <c r="C38" s="34">
        <f t="shared" ref="C38:O38" si="5">SUM(C29:C37)</f>
        <v>0</v>
      </c>
      <c r="D38" s="34">
        <f t="shared" si="5"/>
        <v>0</v>
      </c>
      <c r="E38" s="34">
        <f t="shared" si="5"/>
        <v>0</v>
      </c>
      <c r="F38" s="34">
        <f t="shared" si="5"/>
        <v>0</v>
      </c>
      <c r="G38" s="34">
        <f t="shared" si="5"/>
        <v>0</v>
      </c>
      <c r="H38" s="34">
        <f t="shared" si="5"/>
        <v>0</v>
      </c>
      <c r="I38" s="34">
        <f t="shared" si="5"/>
        <v>0</v>
      </c>
      <c r="J38" s="34">
        <f t="shared" si="5"/>
        <v>0</v>
      </c>
      <c r="K38" s="34">
        <f t="shared" si="5"/>
        <v>0</v>
      </c>
      <c r="L38" s="34">
        <f t="shared" si="5"/>
        <v>0</v>
      </c>
      <c r="M38" s="34">
        <f t="shared" si="5"/>
        <v>0</v>
      </c>
      <c r="N38" s="34">
        <f t="shared" si="5"/>
        <v>0</v>
      </c>
      <c r="O38" s="34">
        <f t="shared" si="5"/>
        <v>0</v>
      </c>
    </row>
    <row r="40" spans="1:15" ht="19.5" customHeight="1" x14ac:dyDescent="0.3">
      <c r="A40" s="16" t="s">
        <v>58</v>
      </c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</row>
    <row r="41" spans="1:15" ht="18" customHeight="1" x14ac:dyDescent="0.25">
      <c r="A41" s="11" t="s">
        <v>58</v>
      </c>
      <c r="B41" s="11" t="s">
        <v>166</v>
      </c>
      <c r="C41" s="20" t="e">
        <f>'Budżet 2026'!C41*(1+#REF!)</f>
        <v>#REF!</v>
      </c>
      <c r="D41" s="20" t="e">
        <f>'Budżet 2026'!D41*(1+#REF!)</f>
        <v>#REF!</v>
      </c>
      <c r="E41" s="20" t="e">
        <f>'Budżet 2026'!E41*(1+#REF!)</f>
        <v>#REF!</v>
      </c>
      <c r="F41" s="20" t="e">
        <f>'Budżet 2026'!F41*(1+#REF!)</f>
        <v>#REF!</v>
      </c>
      <c r="G41" s="20" t="e">
        <f>'Budżet 2026'!G41*(1+#REF!)</f>
        <v>#REF!</v>
      </c>
      <c r="H41" s="20" t="e">
        <f>'Budżet 2026'!H41*(1+#REF!)</f>
        <v>#REF!</v>
      </c>
      <c r="I41" s="20" t="e">
        <f>'Budżet 2026'!I41*(1+#REF!)</f>
        <v>#REF!</v>
      </c>
      <c r="J41" s="20" t="e">
        <f>'Budżet 2026'!J41*(1+#REF!)</f>
        <v>#REF!</v>
      </c>
      <c r="K41" s="20" t="e">
        <f>'Budżet 2026'!K41*(1+#REF!)</f>
        <v>#REF!</v>
      </c>
      <c r="L41" s="20" t="e">
        <f>'Budżet 2026'!L41*(1+#REF!)</f>
        <v>#REF!</v>
      </c>
      <c r="M41" s="20" t="e">
        <f>'Budżet 2026'!M41*(1+#REF!)</f>
        <v>#REF!</v>
      </c>
      <c r="N41" s="20" t="e">
        <f>'Budżet 2026'!N41*(1+#REF!)</f>
        <v>#REF!</v>
      </c>
      <c r="O41" s="21" t="e">
        <f t="shared" ref="O41:O48" si="6">SUM(C41:N41)</f>
        <v>#REF!</v>
      </c>
    </row>
    <row r="42" spans="1:15" ht="18" customHeight="1" x14ac:dyDescent="0.25">
      <c r="A42" s="30" t="s">
        <v>58</v>
      </c>
      <c r="B42" s="30" t="s">
        <v>167</v>
      </c>
      <c r="C42" s="44" t="e">
        <f>'Budżet 2026'!C42*(1+#REF!)</f>
        <v>#REF!</v>
      </c>
      <c r="D42" s="44" t="e">
        <f>'Budżet 2026'!D42*(1+#REF!)</f>
        <v>#REF!</v>
      </c>
      <c r="E42" s="44" t="e">
        <f>'Budżet 2026'!E42*(1+#REF!)</f>
        <v>#REF!</v>
      </c>
      <c r="F42" s="44" t="e">
        <f>'Budżet 2026'!F42*(1+#REF!)</f>
        <v>#REF!</v>
      </c>
      <c r="G42" s="44" t="e">
        <f>'Budżet 2026'!G42*(1+#REF!)</f>
        <v>#REF!</v>
      </c>
      <c r="H42" s="44" t="e">
        <f>'Budżet 2026'!H42*(1+#REF!)</f>
        <v>#REF!</v>
      </c>
      <c r="I42" s="44" t="e">
        <f>'Budżet 2026'!I42*(1+#REF!)</f>
        <v>#REF!</v>
      </c>
      <c r="J42" s="44" t="e">
        <f>'Budżet 2026'!J42*(1+#REF!)</f>
        <v>#REF!</v>
      </c>
      <c r="K42" s="44" t="e">
        <f>'Budżet 2026'!K42*(1+#REF!)</f>
        <v>#REF!</v>
      </c>
      <c r="L42" s="44" t="e">
        <f>'Budżet 2026'!L42*(1+#REF!)</f>
        <v>#REF!</v>
      </c>
      <c r="M42" s="44" t="e">
        <f>'Budżet 2026'!M42*(1+#REF!)</f>
        <v>#REF!</v>
      </c>
      <c r="N42" s="44" t="e">
        <f>'Budżet 2026'!N42*(1+#REF!)</f>
        <v>#REF!</v>
      </c>
      <c r="O42" s="32" t="e">
        <f t="shared" si="6"/>
        <v>#REF!</v>
      </c>
    </row>
    <row r="43" spans="1:15" ht="18" customHeight="1" x14ac:dyDescent="0.25">
      <c r="A43" s="11" t="s">
        <v>58</v>
      </c>
      <c r="B43" s="11" t="s">
        <v>168</v>
      </c>
      <c r="C43" s="20" t="e">
        <f>'Budżet 2026'!C43*(1+#REF!)</f>
        <v>#REF!</v>
      </c>
      <c r="D43" s="20" t="e">
        <f>'Budżet 2026'!D43*(1+#REF!)</f>
        <v>#REF!</v>
      </c>
      <c r="E43" s="20" t="e">
        <f>'Budżet 2026'!E43*(1+#REF!)</f>
        <v>#REF!</v>
      </c>
      <c r="F43" s="20" t="e">
        <f>'Budżet 2026'!F43*(1+#REF!)</f>
        <v>#REF!</v>
      </c>
      <c r="G43" s="20" t="e">
        <f>'Budżet 2026'!G43*(1+#REF!)</f>
        <v>#REF!</v>
      </c>
      <c r="H43" s="20" t="e">
        <f>'Budżet 2026'!H43*(1+#REF!)</f>
        <v>#REF!</v>
      </c>
      <c r="I43" s="20" t="e">
        <f>'Budżet 2026'!I43*(1+#REF!)</f>
        <v>#REF!</v>
      </c>
      <c r="J43" s="20" t="e">
        <f>'Budżet 2026'!J43*(1+#REF!)</f>
        <v>#REF!</v>
      </c>
      <c r="K43" s="20" t="e">
        <f>'Budżet 2026'!K43*(1+#REF!)</f>
        <v>#REF!</v>
      </c>
      <c r="L43" s="20" t="e">
        <f>'Budżet 2026'!L43*(1+#REF!)</f>
        <v>#REF!</v>
      </c>
      <c r="M43" s="20" t="e">
        <f>'Budżet 2026'!M43*(1+#REF!)</f>
        <v>#REF!</v>
      </c>
      <c r="N43" s="20" t="e">
        <f>'Budżet 2026'!N43*(1+#REF!)</f>
        <v>#REF!</v>
      </c>
      <c r="O43" s="21" t="e">
        <f t="shared" si="6"/>
        <v>#REF!</v>
      </c>
    </row>
    <row r="44" spans="1:15" ht="18" customHeight="1" x14ac:dyDescent="0.25">
      <c r="A44" s="30" t="s">
        <v>58</v>
      </c>
      <c r="B44" s="30" t="s">
        <v>169</v>
      </c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2">
        <f t="shared" si="6"/>
        <v>0</v>
      </c>
    </row>
    <row r="45" spans="1:15" ht="18" customHeight="1" x14ac:dyDescent="0.25">
      <c r="A45" s="11" t="s">
        <v>58</v>
      </c>
      <c r="B45" s="11" t="s">
        <v>170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21">
        <f t="shared" si="6"/>
        <v>0</v>
      </c>
    </row>
    <row r="46" spans="1:15" ht="18" customHeight="1" x14ac:dyDescent="0.25">
      <c r="A46" s="30" t="s">
        <v>58</v>
      </c>
      <c r="B46" s="30" t="s">
        <v>171</v>
      </c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2">
        <f t="shared" si="6"/>
        <v>0</v>
      </c>
    </row>
    <row r="47" spans="1:15" ht="18" customHeight="1" x14ac:dyDescent="0.25">
      <c r="A47" s="11" t="s">
        <v>58</v>
      </c>
      <c r="B47" s="11" t="s">
        <v>172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21">
        <f t="shared" si="6"/>
        <v>0</v>
      </c>
    </row>
    <row r="48" spans="1:15" ht="18" customHeight="1" x14ac:dyDescent="0.25">
      <c r="A48" s="30" t="s">
        <v>58</v>
      </c>
      <c r="B48" s="30" t="s">
        <v>173</v>
      </c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2">
        <f t="shared" si="6"/>
        <v>0</v>
      </c>
    </row>
    <row r="49" spans="1:15" ht="19.5" customHeight="1" thickBot="1" x14ac:dyDescent="0.3">
      <c r="A49" s="33" t="s">
        <v>58</v>
      </c>
      <c r="B49" s="33" t="s">
        <v>174</v>
      </c>
      <c r="C49" s="34" t="e">
        <f t="shared" ref="C49:O49" si="7">SUM(C41:C48)</f>
        <v>#REF!</v>
      </c>
      <c r="D49" s="34" t="e">
        <f t="shared" si="7"/>
        <v>#REF!</v>
      </c>
      <c r="E49" s="34" t="e">
        <f t="shared" si="7"/>
        <v>#REF!</v>
      </c>
      <c r="F49" s="34" t="e">
        <f t="shared" si="7"/>
        <v>#REF!</v>
      </c>
      <c r="G49" s="34" t="e">
        <f t="shared" si="7"/>
        <v>#REF!</v>
      </c>
      <c r="H49" s="34" t="e">
        <f t="shared" si="7"/>
        <v>#REF!</v>
      </c>
      <c r="I49" s="34" t="e">
        <f t="shared" si="7"/>
        <v>#REF!</v>
      </c>
      <c r="J49" s="34" t="e">
        <f t="shared" si="7"/>
        <v>#REF!</v>
      </c>
      <c r="K49" s="34" t="e">
        <f t="shared" si="7"/>
        <v>#REF!</v>
      </c>
      <c r="L49" s="34" t="e">
        <f t="shared" si="7"/>
        <v>#REF!</v>
      </c>
      <c r="M49" s="34" t="e">
        <f t="shared" si="7"/>
        <v>#REF!</v>
      </c>
      <c r="N49" s="34" t="e">
        <f t="shared" si="7"/>
        <v>#REF!</v>
      </c>
      <c r="O49" s="34" t="e">
        <f t="shared" si="7"/>
        <v>#REF!</v>
      </c>
    </row>
    <row r="51" spans="1:15" ht="19.5" customHeight="1" x14ac:dyDescent="0.3">
      <c r="A51" s="16" t="s">
        <v>59</v>
      </c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</row>
    <row r="52" spans="1:15" ht="18" customHeight="1" x14ac:dyDescent="0.25">
      <c r="A52" s="11" t="s">
        <v>59</v>
      </c>
      <c r="B52" s="11" t="s">
        <v>175</v>
      </c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1">
        <f>SUM(C52:N52)</f>
        <v>0</v>
      </c>
    </row>
    <row r="53" spans="1:15" ht="18" customHeight="1" x14ac:dyDescent="0.25">
      <c r="A53" s="30" t="s">
        <v>59</v>
      </c>
      <c r="B53" s="30" t="s">
        <v>176</v>
      </c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21">
        <f t="shared" ref="O53:O56" si="8">SUM(C53:N53)</f>
        <v>0</v>
      </c>
    </row>
    <row r="54" spans="1:15" ht="18" customHeight="1" x14ac:dyDescent="0.25">
      <c r="A54" s="11" t="s">
        <v>59</v>
      </c>
      <c r="B54" s="11" t="s">
        <v>177</v>
      </c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21">
        <f t="shared" si="8"/>
        <v>0</v>
      </c>
    </row>
    <row r="55" spans="1:15" ht="18" customHeight="1" x14ac:dyDescent="0.25">
      <c r="A55" s="30" t="s">
        <v>59</v>
      </c>
      <c r="B55" s="30" t="s">
        <v>178</v>
      </c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21">
        <f t="shared" si="8"/>
        <v>0</v>
      </c>
    </row>
    <row r="56" spans="1:15" ht="18" customHeight="1" x14ac:dyDescent="0.25">
      <c r="A56" s="11" t="s">
        <v>59</v>
      </c>
      <c r="B56" s="11" t="s">
        <v>179</v>
      </c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21">
        <f t="shared" si="8"/>
        <v>0</v>
      </c>
    </row>
    <row r="57" spans="1:15" ht="19.5" customHeight="1" thickBot="1" x14ac:dyDescent="0.3">
      <c r="A57" s="33" t="s">
        <v>59</v>
      </c>
      <c r="B57" s="33" t="s">
        <v>180</v>
      </c>
      <c r="C57" s="34">
        <f t="shared" ref="C57:O57" si="9">SUM(C52:C56)</f>
        <v>0</v>
      </c>
      <c r="D57" s="34">
        <f t="shared" si="9"/>
        <v>0</v>
      </c>
      <c r="E57" s="34">
        <f t="shared" si="9"/>
        <v>0</v>
      </c>
      <c r="F57" s="34">
        <f t="shared" si="9"/>
        <v>0</v>
      </c>
      <c r="G57" s="34">
        <f t="shared" si="9"/>
        <v>0</v>
      </c>
      <c r="H57" s="34">
        <f t="shared" si="9"/>
        <v>0</v>
      </c>
      <c r="I57" s="34">
        <f t="shared" si="9"/>
        <v>0</v>
      </c>
      <c r="J57" s="34">
        <f t="shared" si="9"/>
        <v>0</v>
      </c>
      <c r="K57" s="34">
        <f t="shared" si="9"/>
        <v>0</v>
      </c>
      <c r="L57" s="34">
        <f t="shared" si="9"/>
        <v>0</v>
      </c>
      <c r="M57" s="34">
        <f t="shared" si="9"/>
        <v>0</v>
      </c>
      <c r="N57" s="34">
        <f t="shared" si="9"/>
        <v>0</v>
      </c>
      <c r="O57" s="34">
        <f t="shared" si="9"/>
        <v>0</v>
      </c>
    </row>
    <row r="59" spans="1:15" ht="19.5" customHeight="1" x14ac:dyDescent="0.3">
      <c r="A59" s="16" t="s">
        <v>67</v>
      </c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</row>
    <row r="60" spans="1:15" ht="18" customHeight="1" x14ac:dyDescent="0.25">
      <c r="A60" s="11" t="s">
        <v>67</v>
      </c>
      <c r="B60" s="11" t="s">
        <v>181</v>
      </c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21">
        <f>SUM(C60:N60)</f>
        <v>0</v>
      </c>
    </row>
    <row r="61" spans="1:15" ht="18" customHeight="1" x14ac:dyDescent="0.25">
      <c r="A61" s="30" t="s">
        <v>67</v>
      </c>
      <c r="B61" s="30" t="s">
        <v>182</v>
      </c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21">
        <f t="shared" ref="O61:O67" si="10">SUM(C61:N61)</f>
        <v>0</v>
      </c>
    </row>
    <row r="62" spans="1:15" ht="18" customHeight="1" x14ac:dyDescent="0.25">
      <c r="A62" s="11" t="s">
        <v>67</v>
      </c>
      <c r="B62" s="11" t="s">
        <v>183</v>
      </c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21">
        <f t="shared" si="10"/>
        <v>0</v>
      </c>
    </row>
    <row r="63" spans="1:15" ht="18" customHeight="1" x14ac:dyDescent="0.25">
      <c r="A63" s="30" t="s">
        <v>67</v>
      </c>
      <c r="B63" s="30" t="s">
        <v>184</v>
      </c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21">
        <f t="shared" si="10"/>
        <v>0</v>
      </c>
    </row>
    <row r="64" spans="1:15" ht="18" customHeight="1" x14ac:dyDescent="0.25">
      <c r="A64" s="11" t="s">
        <v>67</v>
      </c>
      <c r="B64" s="11" t="s">
        <v>185</v>
      </c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21">
        <f t="shared" si="10"/>
        <v>0</v>
      </c>
    </row>
    <row r="65" spans="1:15" ht="18" customHeight="1" x14ac:dyDescent="0.25">
      <c r="A65" s="30" t="s">
        <v>67</v>
      </c>
      <c r="B65" s="30" t="s">
        <v>186</v>
      </c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21">
        <f t="shared" si="10"/>
        <v>0</v>
      </c>
    </row>
    <row r="66" spans="1:15" ht="18" customHeight="1" x14ac:dyDescent="0.25">
      <c r="A66" s="11" t="s">
        <v>67</v>
      </c>
      <c r="B66" s="11" t="s">
        <v>187</v>
      </c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21">
        <f t="shared" si="10"/>
        <v>0</v>
      </c>
    </row>
    <row r="67" spans="1:15" ht="18" customHeight="1" x14ac:dyDescent="0.25">
      <c r="A67" s="30" t="s">
        <v>67</v>
      </c>
      <c r="B67" s="30" t="s">
        <v>188</v>
      </c>
      <c r="C67" s="44"/>
      <c r="D67" s="44"/>
      <c r="E67" s="44"/>
      <c r="F67" s="44"/>
      <c r="G67" s="44"/>
      <c r="H67" s="44"/>
      <c r="I67" s="44"/>
      <c r="J67" s="44"/>
      <c r="K67" s="44"/>
      <c r="L67" s="44"/>
      <c r="M67" s="44"/>
      <c r="N67" s="44"/>
      <c r="O67" s="21">
        <f t="shared" si="10"/>
        <v>0</v>
      </c>
    </row>
    <row r="68" spans="1:15" ht="19.5" customHeight="1" thickBot="1" x14ac:dyDescent="0.3">
      <c r="A68" s="33" t="s">
        <v>67</v>
      </c>
      <c r="B68" s="33" t="s">
        <v>189</v>
      </c>
      <c r="C68" s="34">
        <f t="shared" ref="C68:O68" si="11">SUM(C60:C67)</f>
        <v>0</v>
      </c>
      <c r="D68" s="34">
        <f t="shared" si="11"/>
        <v>0</v>
      </c>
      <c r="E68" s="34">
        <f t="shared" si="11"/>
        <v>0</v>
      </c>
      <c r="F68" s="34">
        <f t="shared" si="11"/>
        <v>0</v>
      </c>
      <c r="G68" s="34">
        <f t="shared" si="11"/>
        <v>0</v>
      </c>
      <c r="H68" s="34">
        <f t="shared" si="11"/>
        <v>0</v>
      </c>
      <c r="I68" s="34">
        <f t="shared" si="11"/>
        <v>0</v>
      </c>
      <c r="J68" s="34">
        <f t="shared" si="11"/>
        <v>0</v>
      </c>
      <c r="K68" s="34">
        <f t="shared" si="11"/>
        <v>0</v>
      </c>
      <c r="L68" s="34">
        <f t="shared" si="11"/>
        <v>0</v>
      </c>
      <c r="M68" s="34">
        <f t="shared" si="11"/>
        <v>0</v>
      </c>
      <c r="N68" s="34">
        <f t="shared" si="11"/>
        <v>0</v>
      </c>
      <c r="O68" s="34">
        <f t="shared" si="11"/>
        <v>0</v>
      </c>
    </row>
    <row r="70" spans="1:15" ht="19.5" customHeight="1" x14ac:dyDescent="0.3">
      <c r="A70" s="16" t="s">
        <v>68</v>
      </c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</row>
    <row r="71" spans="1:15" ht="18" customHeight="1" x14ac:dyDescent="0.25">
      <c r="A71" s="11" t="s">
        <v>68</v>
      </c>
      <c r="B71" s="11" t="s">
        <v>190</v>
      </c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21">
        <f>SUM(C71:N71)</f>
        <v>0</v>
      </c>
    </row>
    <row r="72" spans="1:15" ht="18" customHeight="1" x14ac:dyDescent="0.25">
      <c r="A72" s="30" t="s">
        <v>68</v>
      </c>
      <c r="B72" s="30" t="s">
        <v>191</v>
      </c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21">
        <f t="shared" ref="O72:O75" si="12">SUM(C72:N72)</f>
        <v>0</v>
      </c>
    </row>
    <row r="73" spans="1:15" ht="18" customHeight="1" x14ac:dyDescent="0.25">
      <c r="A73" s="11" t="s">
        <v>68</v>
      </c>
      <c r="B73" s="11" t="s">
        <v>192</v>
      </c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1">
        <f t="shared" si="12"/>
        <v>0</v>
      </c>
    </row>
    <row r="74" spans="1:15" ht="18" customHeight="1" x14ac:dyDescent="0.25">
      <c r="A74" s="30" t="s">
        <v>68</v>
      </c>
      <c r="B74" s="30" t="s">
        <v>193</v>
      </c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21">
        <f t="shared" si="12"/>
        <v>0</v>
      </c>
    </row>
    <row r="75" spans="1:15" ht="18" customHeight="1" x14ac:dyDescent="0.25">
      <c r="A75" s="11" t="s">
        <v>68</v>
      </c>
      <c r="B75" s="11" t="s">
        <v>194</v>
      </c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21">
        <f t="shared" si="12"/>
        <v>0</v>
      </c>
    </row>
    <row r="76" spans="1:15" ht="19.5" customHeight="1" thickBot="1" x14ac:dyDescent="0.3">
      <c r="A76" s="33" t="s">
        <v>68</v>
      </c>
      <c r="B76" s="33" t="s">
        <v>195</v>
      </c>
      <c r="C76" s="34">
        <f t="shared" ref="C76:O76" si="13">SUM(C71:C75)</f>
        <v>0</v>
      </c>
      <c r="D76" s="34">
        <f t="shared" si="13"/>
        <v>0</v>
      </c>
      <c r="E76" s="34">
        <f t="shared" si="13"/>
        <v>0</v>
      </c>
      <c r="F76" s="34">
        <f t="shared" si="13"/>
        <v>0</v>
      </c>
      <c r="G76" s="34">
        <f t="shared" si="13"/>
        <v>0</v>
      </c>
      <c r="H76" s="34">
        <f t="shared" si="13"/>
        <v>0</v>
      </c>
      <c r="I76" s="34">
        <f t="shared" si="13"/>
        <v>0</v>
      </c>
      <c r="J76" s="34">
        <f t="shared" si="13"/>
        <v>0</v>
      </c>
      <c r="K76" s="34">
        <f t="shared" si="13"/>
        <v>0</v>
      </c>
      <c r="L76" s="34">
        <f t="shared" si="13"/>
        <v>0</v>
      </c>
      <c r="M76" s="34">
        <f t="shared" si="13"/>
        <v>0</v>
      </c>
      <c r="N76" s="34">
        <f t="shared" si="13"/>
        <v>0</v>
      </c>
      <c r="O76" s="34">
        <f t="shared" si="13"/>
        <v>0</v>
      </c>
    </row>
    <row r="78" spans="1:15" ht="16.5" customHeight="1" x14ac:dyDescent="0.3">
      <c r="A78" s="16" t="s">
        <v>196</v>
      </c>
      <c r="B78" s="16" t="s">
        <v>197</v>
      </c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</row>
    <row r="79" spans="1:15" x14ac:dyDescent="0.25">
      <c r="A79" s="36" t="s">
        <v>196</v>
      </c>
      <c r="B79" s="37" t="s">
        <v>198</v>
      </c>
      <c r="C79" s="38">
        <f t="shared" ref="C79:O79" si="14">C11</f>
        <v>0</v>
      </c>
      <c r="D79" s="38">
        <f t="shared" si="14"/>
        <v>0</v>
      </c>
      <c r="E79" s="38">
        <f t="shared" si="14"/>
        <v>0</v>
      </c>
      <c r="F79" s="38">
        <f t="shared" si="14"/>
        <v>0</v>
      </c>
      <c r="G79" s="38">
        <f t="shared" si="14"/>
        <v>0</v>
      </c>
      <c r="H79" s="38">
        <f t="shared" si="14"/>
        <v>0</v>
      </c>
      <c r="I79" s="38">
        <f t="shared" si="14"/>
        <v>0</v>
      </c>
      <c r="J79" s="38">
        <f t="shared" si="14"/>
        <v>0</v>
      </c>
      <c r="K79" s="38">
        <f t="shared" si="14"/>
        <v>0</v>
      </c>
      <c r="L79" s="38">
        <f t="shared" si="14"/>
        <v>0</v>
      </c>
      <c r="M79" s="38">
        <f t="shared" si="14"/>
        <v>0</v>
      </c>
      <c r="N79" s="38">
        <f t="shared" si="14"/>
        <v>0</v>
      </c>
      <c r="O79" s="38">
        <f t="shared" si="14"/>
        <v>0</v>
      </c>
    </row>
    <row r="80" spans="1:15" x14ac:dyDescent="0.25">
      <c r="A80" s="39" t="s">
        <v>196</v>
      </c>
      <c r="B80" s="40" t="s">
        <v>199</v>
      </c>
      <c r="C80" s="41" t="e">
        <f t="shared" ref="C80:O80" si="15">C26+C38+C49+C57+C68+C76</f>
        <v>#REF!</v>
      </c>
      <c r="D80" s="41" t="e">
        <f t="shared" si="15"/>
        <v>#REF!</v>
      </c>
      <c r="E80" s="41" t="e">
        <f t="shared" si="15"/>
        <v>#REF!</v>
      </c>
      <c r="F80" s="41" t="e">
        <f t="shared" si="15"/>
        <v>#REF!</v>
      </c>
      <c r="G80" s="41" t="e">
        <f t="shared" si="15"/>
        <v>#REF!</v>
      </c>
      <c r="H80" s="41" t="e">
        <f t="shared" si="15"/>
        <v>#REF!</v>
      </c>
      <c r="I80" s="41" t="e">
        <f t="shared" si="15"/>
        <v>#REF!</v>
      </c>
      <c r="J80" s="41" t="e">
        <f t="shared" si="15"/>
        <v>#REF!</v>
      </c>
      <c r="K80" s="41" t="e">
        <f t="shared" si="15"/>
        <v>#REF!</v>
      </c>
      <c r="L80" s="41" t="e">
        <f t="shared" si="15"/>
        <v>#REF!</v>
      </c>
      <c r="M80" s="41" t="e">
        <f t="shared" si="15"/>
        <v>#REF!</v>
      </c>
      <c r="N80" s="41" t="e">
        <f t="shared" si="15"/>
        <v>#REF!</v>
      </c>
      <c r="O80" s="41" t="e">
        <f t="shared" si="15"/>
        <v>#REF!</v>
      </c>
    </row>
    <row r="81" spans="1:15" ht="16.5" customHeight="1" x14ac:dyDescent="0.3">
      <c r="A81" s="42" t="s">
        <v>196</v>
      </c>
      <c r="B81" s="42" t="s">
        <v>200</v>
      </c>
      <c r="C81" s="43" t="e">
        <f t="shared" ref="C81:O81" si="16">C79-C80</f>
        <v>#REF!</v>
      </c>
      <c r="D81" s="43" t="e">
        <f t="shared" si="16"/>
        <v>#REF!</v>
      </c>
      <c r="E81" s="43" t="e">
        <f t="shared" si="16"/>
        <v>#REF!</v>
      </c>
      <c r="F81" s="43" t="e">
        <f t="shared" si="16"/>
        <v>#REF!</v>
      </c>
      <c r="G81" s="43" t="e">
        <f t="shared" si="16"/>
        <v>#REF!</v>
      </c>
      <c r="H81" s="43" t="e">
        <f t="shared" si="16"/>
        <v>#REF!</v>
      </c>
      <c r="I81" s="43" t="e">
        <f t="shared" si="16"/>
        <v>#REF!</v>
      </c>
      <c r="J81" s="43" t="e">
        <f t="shared" si="16"/>
        <v>#REF!</v>
      </c>
      <c r="K81" s="43" t="e">
        <f t="shared" si="16"/>
        <v>#REF!</v>
      </c>
      <c r="L81" s="43" t="e">
        <f t="shared" si="16"/>
        <v>#REF!</v>
      </c>
      <c r="M81" s="43" t="e">
        <f t="shared" si="16"/>
        <v>#REF!</v>
      </c>
      <c r="N81" s="43" t="e">
        <f t="shared" si="16"/>
        <v>#REF!</v>
      </c>
      <c r="O81" s="43" t="e">
        <f t="shared" si="16"/>
        <v>#REF!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Dashboard</vt:lpstr>
      <vt:lpstr>Statystyki</vt:lpstr>
      <vt:lpstr>Budżet 2026</vt:lpstr>
      <vt:lpstr>Budżet 2027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Przemysław Światłoń</cp:lastModifiedBy>
  <cp:revision>1</cp:revision>
  <dcterms:created xsi:type="dcterms:W3CDTF">2026-07-03T12:27:29Z</dcterms:created>
  <dcterms:modified xsi:type="dcterms:W3CDTF">2026-07-23T17:21:08Z</dcterms:modified>
  <dc:language>en-US</dc:language>
</cp:coreProperties>
</file>